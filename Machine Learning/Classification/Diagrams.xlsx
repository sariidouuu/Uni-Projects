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gas\OneDrive\Documents\Uni\7o  SEMESTER\MACHINE LEARNING\ERGASIES\1. CLASSIFICATION\"/>
    </mc:Choice>
  </mc:AlternateContent>
  <xr:revisionPtr revIDLastSave="0" documentId="13_ncr:1_{B4FB191B-378C-49CF-A8F7-C05B24DADA9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lancedDataOutcomes (1)" sheetId="1" r:id="rId1"/>
    <sheet name="Συγκεντρωτικός πίνακας_balanced" sheetId="2" r:id="rId2"/>
  </sheets>
  <definedNames>
    <definedName name="_xlnm._FilterDatabase" localSheetId="0" hidden="1">'balancedDataOutcomes (1)'!$B$1:$B$65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" i="1" l="1"/>
  <c r="O65" i="1"/>
  <c r="M65" i="1"/>
  <c r="L65" i="1"/>
  <c r="N65" i="1" s="1"/>
  <c r="O64" i="1"/>
  <c r="M64" i="1"/>
  <c r="L64" i="1"/>
  <c r="N64" i="1" s="1"/>
  <c r="O63" i="1"/>
  <c r="M63" i="1"/>
  <c r="N63" i="1" s="1"/>
  <c r="L63" i="1"/>
  <c r="O62" i="1"/>
  <c r="N62" i="1"/>
  <c r="M62" i="1"/>
  <c r="L62" i="1"/>
  <c r="M61" i="1"/>
  <c r="L61" i="1"/>
  <c r="M60" i="1"/>
  <c r="L60" i="1"/>
  <c r="O59" i="1"/>
  <c r="N59" i="1"/>
  <c r="M59" i="1"/>
  <c r="L59" i="1"/>
  <c r="M58" i="1"/>
  <c r="L58" i="1"/>
  <c r="N58" i="1" s="1"/>
  <c r="M57" i="1"/>
  <c r="N57" i="1" s="1"/>
  <c r="L57" i="1"/>
  <c r="O56" i="1"/>
  <c r="N56" i="1"/>
  <c r="M56" i="1"/>
  <c r="L56" i="1"/>
  <c r="M55" i="1"/>
  <c r="L55" i="1"/>
  <c r="M54" i="1"/>
  <c r="N54" i="1" s="1"/>
  <c r="L54" i="1"/>
  <c r="O53" i="1"/>
  <c r="N53" i="1"/>
  <c r="M53" i="1"/>
  <c r="L53" i="1"/>
  <c r="M52" i="1"/>
  <c r="L52" i="1"/>
  <c r="M51" i="1"/>
  <c r="L51" i="1"/>
  <c r="O50" i="1"/>
  <c r="N50" i="1"/>
  <c r="M50" i="1"/>
  <c r="L50" i="1"/>
  <c r="M49" i="1"/>
  <c r="L49" i="1"/>
  <c r="O48" i="1"/>
  <c r="M48" i="1"/>
  <c r="N48" i="1" s="1"/>
  <c r="L48" i="1"/>
  <c r="O47" i="1"/>
  <c r="N47" i="1"/>
  <c r="M47" i="1"/>
  <c r="L47" i="1"/>
  <c r="O46" i="1"/>
  <c r="M46" i="1"/>
  <c r="L46" i="1"/>
  <c r="N46" i="1" s="1"/>
  <c r="M45" i="1"/>
  <c r="N45" i="1" s="1"/>
  <c r="L45" i="1"/>
  <c r="O44" i="1"/>
  <c r="N44" i="1"/>
  <c r="M44" i="1"/>
  <c r="L44" i="1"/>
  <c r="M43" i="1"/>
  <c r="L43" i="1"/>
  <c r="N43" i="1" s="1"/>
  <c r="M42" i="1"/>
  <c r="L42" i="1"/>
  <c r="O41" i="1"/>
  <c r="N41" i="1"/>
  <c r="M41" i="1"/>
  <c r="L41" i="1"/>
  <c r="O40" i="1"/>
  <c r="M40" i="1"/>
  <c r="L40" i="1"/>
  <c r="N40" i="1" s="1"/>
  <c r="O39" i="1"/>
  <c r="M39" i="1"/>
  <c r="N39" i="1" s="1"/>
  <c r="L39" i="1"/>
  <c r="O38" i="1"/>
  <c r="N38" i="1"/>
  <c r="M38" i="1"/>
  <c r="L38" i="1"/>
  <c r="O37" i="1"/>
  <c r="M37" i="1"/>
  <c r="L37" i="1"/>
  <c r="N37" i="1" s="1"/>
  <c r="O36" i="1"/>
  <c r="M36" i="1"/>
  <c r="N36" i="1" s="1"/>
  <c r="L36" i="1"/>
  <c r="O35" i="1"/>
  <c r="N35" i="1"/>
  <c r="M35" i="1"/>
  <c r="L35" i="1"/>
  <c r="O34" i="1"/>
  <c r="M34" i="1"/>
  <c r="L34" i="1"/>
  <c r="N34" i="1" s="1"/>
  <c r="O33" i="1"/>
  <c r="M33" i="1"/>
  <c r="N33" i="1" s="1"/>
  <c r="L33" i="1"/>
  <c r="O32" i="1"/>
  <c r="N32" i="1"/>
  <c r="M32" i="1"/>
  <c r="L32" i="1"/>
  <c r="O31" i="1"/>
  <c r="M31" i="1"/>
  <c r="L31" i="1"/>
  <c r="N31" i="1" s="1"/>
  <c r="O30" i="1"/>
  <c r="M30" i="1"/>
  <c r="N30" i="1" s="1"/>
  <c r="L30" i="1"/>
  <c r="O29" i="1"/>
  <c r="N29" i="1"/>
  <c r="M29" i="1"/>
  <c r="L29" i="1"/>
  <c r="O28" i="1"/>
  <c r="M28" i="1"/>
  <c r="L28" i="1"/>
  <c r="N28" i="1" s="1"/>
  <c r="O27" i="1"/>
  <c r="M27" i="1"/>
  <c r="N27" i="1" s="1"/>
  <c r="L27" i="1"/>
  <c r="O26" i="1"/>
  <c r="N26" i="1"/>
  <c r="M26" i="1"/>
  <c r="L26" i="1"/>
  <c r="O25" i="1"/>
  <c r="M25" i="1"/>
  <c r="L25" i="1"/>
  <c r="N25" i="1" s="1"/>
  <c r="O24" i="1"/>
  <c r="M24" i="1"/>
  <c r="N24" i="1" s="1"/>
  <c r="L24" i="1"/>
  <c r="O23" i="1"/>
  <c r="N23" i="1"/>
  <c r="M23" i="1"/>
  <c r="L23" i="1"/>
  <c r="O22" i="1"/>
  <c r="M22" i="1"/>
  <c r="L22" i="1"/>
  <c r="N22" i="1" s="1"/>
  <c r="O21" i="1"/>
  <c r="M21" i="1"/>
  <c r="N21" i="1" s="1"/>
  <c r="L21" i="1"/>
  <c r="O20" i="1"/>
  <c r="N20" i="1"/>
  <c r="M20" i="1"/>
  <c r="L20" i="1"/>
  <c r="O19" i="1"/>
  <c r="M19" i="1"/>
  <c r="L19" i="1"/>
  <c r="N19" i="1" s="1"/>
  <c r="O18" i="1"/>
  <c r="M18" i="1"/>
  <c r="N18" i="1" s="1"/>
  <c r="L18" i="1"/>
  <c r="O17" i="1"/>
  <c r="N17" i="1"/>
  <c r="M17" i="1"/>
  <c r="L17" i="1"/>
  <c r="O16" i="1"/>
  <c r="M16" i="1"/>
  <c r="L16" i="1"/>
  <c r="N16" i="1" s="1"/>
  <c r="O15" i="1"/>
  <c r="M15" i="1"/>
  <c r="N15" i="1" s="1"/>
  <c r="L15" i="1"/>
  <c r="O14" i="1"/>
  <c r="N14" i="1"/>
  <c r="M14" i="1"/>
  <c r="L14" i="1"/>
  <c r="M13" i="1"/>
  <c r="L13" i="1"/>
  <c r="N13" i="1" s="1"/>
  <c r="M12" i="1"/>
  <c r="L12" i="1"/>
  <c r="O11" i="1"/>
  <c r="N11" i="1"/>
  <c r="M11" i="1"/>
  <c r="L11" i="1"/>
  <c r="M10" i="1"/>
  <c r="L10" i="1"/>
  <c r="M9" i="1"/>
  <c r="L9" i="1"/>
  <c r="O8" i="1"/>
  <c r="N8" i="1"/>
  <c r="M8" i="1"/>
  <c r="L8" i="1"/>
  <c r="M7" i="1"/>
  <c r="L7" i="1"/>
  <c r="N7" i="1" s="1"/>
  <c r="M6" i="1"/>
  <c r="N6" i="1" s="1"/>
  <c r="L6" i="1"/>
  <c r="O5" i="1"/>
  <c r="N5" i="1"/>
  <c r="M5" i="1"/>
  <c r="L5" i="1"/>
  <c r="M4" i="1"/>
  <c r="L4" i="1"/>
  <c r="N4" i="1" s="1"/>
  <c r="M3" i="1"/>
  <c r="L3" i="1"/>
  <c r="O2" i="1"/>
  <c r="N2" i="1"/>
  <c r="M2" i="1"/>
  <c r="L2" i="1"/>
  <c r="O12" i="1" l="1"/>
  <c r="O9" i="1"/>
  <c r="O51" i="1"/>
  <c r="O60" i="1"/>
  <c r="O52" i="1"/>
  <c r="O42" i="1"/>
  <c r="O10" i="1"/>
  <c r="O61" i="1"/>
  <c r="N3" i="1"/>
  <c r="O3" i="1" s="1"/>
  <c r="N12" i="1"/>
  <c r="N42" i="1"/>
  <c r="N60" i="1"/>
  <c r="O54" i="1"/>
  <c r="O57" i="1"/>
  <c r="N10" i="1"/>
  <c r="N49" i="1"/>
  <c r="O49" i="1" s="1"/>
  <c r="N55" i="1"/>
  <c r="O55" i="1" s="1"/>
  <c r="N61" i="1"/>
  <c r="O7" i="1"/>
  <c r="O13" i="1"/>
  <c r="O43" i="1"/>
  <c r="O58" i="1"/>
  <c r="N9" i="1"/>
  <c r="N51" i="1"/>
  <c r="O6" i="1"/>
  <c r="O45" i="1"/>
  <c r="N52" i="1"/>
  <c r="O4" i="1"/>
</calcChain>
</file>

<file path=xl/sharedStrings.xml><?xml version="1.0" encoding="utf-8"?>
<sst xmlns="http://schemas.openxmlformats.org/spreadsheetml/2006/main" count="295" uniqueCount="67">
  <si>
    <t>Classifier Name</t>
  </si>
  <si>
    <t>Training or test set</t>
  </si>
  <si>
    <t>Balanced or unbalanced train set</t>
  </si>
  <si>
    <t>Number of training samples</t>
  </si>
  <si>
    <t>Number of non-healthy companies in training sample</t>
  </si>
  <si>
    <t>TP</t>
  </si>
  <si>
    <t>TN</t>
  </si>
  <si>
    <t>FP</t>
  </si>
  <si>
    <t>FN</t>
  </si>
  <si>
    <t>ROC-AUC</t>
  </si>
  <si>
    <t>Execution Time (sec)</t>
  </si>
  <si>
    <t xml:space="preserve">Precision </t>
  </si>
  <si>
    <t xml:space="preserve">Recall </t>
  </si>
  <si>
    <t xml:space="preserve">F1 Score </t>
  </si>
  <si>
    <t xml:space="preserve">Accuracy </t>
  </si>
  <si>
    <t>Decision Tree</t>
  </si>
  <si>
    <t>Training set</t>
  </si>
  <si>
    <t>Balanced</t>
  </si>
  <si>
    <t>0.0141</t>
  </si>
  <si>
    <t>Random Forest</t>
  </si>
  <si>
    <t>0.3411</t>
  </si>
  <si>
    <t>XGBoost</t>
  </si>
  <si>
    <t>0.0121</t>
  </si>
  <si>
    <t>0.0114</t>
  </si>
  <si>
    <t>0.1417</t>
  </si>
  <si>
    <t>0.0113</t>
  </si>
  <si>
    <t>0.3681</t>
  </si>
  <si>
    <t>SVM</t>
  </si>
  <si>
    <t>Test set</t>
  </si>
  <si>
    <t>Logistic Regression</t>
  </si>
  <si>
    <t>LDA</t>
  </si>
  <si>
    <t>k-NN</t>
  </si>
  <si>
    <t>Naive Bayes</t>
  </si>
  <si>
    <t>0.0543</t>
  </si>
  <si>
    <t>0.0901</t>
  </si>
  <si>
    <t>0.0555</t>
  </si>
  <si>
    <t>0.1553</t>
  </si>
  <si>
    <t>0.0576</t>
  </si>
  <si>
    <t>0.1611</t>
  </si>
  <si>
    <t>0.2556</t>
  </si>
  <si>
    <t>0.0058</t>
  </si>
  <si>
    <t>0.0109</t>
  </si>
  <si>
    <t>0.0069</t>
  </si>
  <si>
    <t>0.0104</t>
  </si>
  <si>
    <t>0.0059</t>
  </si>
  <si>
    <t>0.0056</t>
  </si>
  <si>
    <t>0.0057</t>
  </si>
  <si>
    <t>0.0075</t>
  </si>
  <si>
    <t>Predicted: Healthy</t>
  </si>
  <si>
    <t>Predicted: Bankrupt</t>
  </si>
  <si>
    <t>Recall</t>
  </si>
  <si>
    <t xml:space="preserve">Error Rate </t>
  </si>
  <si>
    <t>Actually Healthy</t>
  </si>
  <si>
    <t>28 (TN)</t>
  </si>
  <si>
    <t>34 (FP)</t>
  </si>
  <si>
    <t>Actually Bankrupt</t>
  </si>
  <si>
    <t>117 (FN)</t>
  </si>
  <si>
    <t>2500 (TP)</t>
  </si>
  <si>
    <t>- όλα -</t>
  </si>
  <si>
    <t>Δεδομένα</t>
  </si>
  <si>
    <t>Μέσος όρος - ROC-AUC</t>
  </si>
  <si>
    <t>Μέσος όρος - Execution Time (sec)</t>
  </si>
  <si>
    <t xml:space="preserve">Μέσος όρος - Precision </t>
  </si>
  <si>
    <t xml:space="preserve">Μέσος όρος - Accuracy </t>
  </si>
  <si>
    <t xml:space="preserve">Μέσος όρος - Recall </t>
  </si>
  <si>
    <t xml:space="preserve">Μέσος όρος - F1 Score </t>
  </si>
  <si>
    <t>Σύνολο Αποτέλεσμα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</si>
</sst>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Times New Roman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17" xfId="0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ROC-AUC Score Performance per Model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BF819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'Συγκεντρωτικός πίνακας_balanced'!$A$16:$A$23</c:f>
              <c:strCache>
                <c:ptCount val="8"/>
                <c:pt idx="0">
                  <c:v>XGBoost</c:v>
                </c:pt>
                <c:pt idx="1">
                  <c:v>SVM</c:v>
                </c:pt>
                <c:pt idx="2">
                  <c:v>Naive Bayes</c:v>
                </c:pt>
                <c:pt idx="3">
                  <c:v>k-NN</c:v>
                </c:pt>
                <c:pt idx="4">
                  <c:v>Random Forest</c:v>
                </c:pt>
                <c:pt idx="5">
                  <c:v>Decision Tree</c:v>
                </c:pt>
                <c:pt idx="6">
                  <c:v>Logistic Regression</c:v>
                </c:pt>
                <c:pt idx="7">
                  <c:v>LDA</c:v>
                </c:pt>
              </c:strCache>
            </c:strRef>
          </c:cat>
          <c:val>
            <c:numRef>
              <c:f>'Συγκεντρωτικός πίνακας_balanced'!$B$16:$B$23</c:f>
              <c:numCache>
                <c:formatCode>General</c:formatCode>
                <c:ptCount val="8"/>
                <c:pt idx="0">
                  <c:v>0.87075000000000002</c:v>
                </c:pt>
                <c:pt idx="1">
                  <c:v>0.87055000000000005</c:v>
                </c:pt>
                <c:pt idx="2">
                  <c:v>0.87034999999999996</c:v>
                </c:pt>
                <c:pt idx="3">
                  <c:v>0.87014999999999998</c:v>
                </c:pt>
                <c:pt idx="4">
                  <c:v>0.86995</c:v>
                </c:pt>
                <c:pt idx="5">
                  <c:v>0.86975000000000002</c:v>
                </c:pt>
                <c:pt idx="6">
                  <c:v>0.86955000000000005</c:v>
                </c:pt>
                <c:pt idx="7">
                  <c:v>0.86934999999999996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54-4A44-A69F-7B87171A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37297"/>
        <c:axId val="606787244"/>
      </c:barChart>
      <c:catAx>
        <c:axId val="192437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06787244"/>
        <c:crosses val="autoZero"/>
        <c:auto val="1"/>
        <c:lblAlgn val="ctr"/>
        <c:lblOffset val="100"/>
        <c:noMultiLvlLbl val="1"/>
      </c:catAx>
      <c:valAx>
        <c:axId val="606787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24372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Comparison of F1 Score Performance by Classifier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983B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'Συγκεντρωτικός πίνακας_balanced'!$D$16:$D$23</c:f>
              <c:strCache>
                <c:ptCount val="8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k-NN</c:v>
                </c:pt>
                <c:pt idx="4">
                  <c:v>Logistic Regression</c:v>
                </c:pt>
                <c:pt idx="5">
                  <c:v>LDA</c:v>
                </c:pt>
                <c:pt idx="6">
                  <c:v>Naive Bayes</c:v>
                </c:pt>
                <c:pt idx="7">
                  <c:v>XGBoost</c:v>
                </c:pt>
              </c:strCache>
            </c:strRef>
          </c:cat>
          <c:val>
            <c:numRef>
              <c:f>'Συγκεντρωτικός πίνακας_balanced'!$E$16:$E$23</c:f>
              <c:numCache>
                <c:formatCode>General</c:formatCode>
                <c:ptCount val="8"/>
                <c:pt idx="0">
                  <c:v>0.97746564258480395</c:v>
                </c:pt>
                <c:pt idx="1">
                  <c:v>0.95123094789679397</c:v>
                </c:pt>
                <c:pt idx="2">
                  <c:v>0.92888379069635496</c:v>
                </c:pt>
                <c:pt idx="3">
                  <c:v>0.92199347161345202</c:v>
                </c:pt>
                <c:pt idx="4">
                  <c:v>0.91809991129607105</c:v>
                </c:pt>
                <c:pt idx="5">
                  <c:v>0.91663026136588499</c:v>
                </c:pt>
                <c:pt idx="6">
                  <c:v>0.89583065082878799</c:v>
                </c:pt>
                <c:pt idx="7">
                  <c:v>0.59972686839385903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B9-4AC7-BA61-0188D3AD7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1793165"/>
        <c:axId val="489193246"/>
      </c:barChart>
      <c:catAx>
        <c:axId val="1851793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89193246"/>
        <c:crosses val="autoZero"/>
        <c:auto val="1"/>
        <c:lblAlgn val="ctr"/>
        <c:lblOffset val="100"/>
        <c:noMultiLvlLbl val="1"/>
      </c:catAx>
      <c:valAx>
        <c:axId val="489193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517931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Accuracy Score Performance per Model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D4EA6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'Συγκεντρωτικός πίνακας_balanced'!$G$16:$G$23</c:f>
              <c:strCache>
                <c:ptCount val="8"/>
                <c:pt idx="0">
                  <c:v>Random Forest</c:v>
                </c:pt>
                <c:pt idx="1">
                  <c:v>XGBoost</c:v>
                </c:pt>
                <c:pt idx="2">
                  <c:v>SVM</c:v>
                </c:pt>
                <c:pt idx="3">
                  <c:v>Logistic Regression</c:v>
                </c:pt>
                <c:pt idx="4">
                  <c:v>LDA</c:v>
                </c:pt>
                <c:pt idx="5">
                  <c:v>Decision Tree</c:v>
                </c:pt>
                <c:pt idx="6">
                  <c:v>k-NN</c:v>
                </c:pt>
                <c:pt idx="7">
                  <c:v>Naive Bayes</c:v>
                </c:pt>
              </c:strCache>
            </c:strRef>
          </c:cat>
          <c:val>
            <c:numRef>
              <c:f>'Συγκεντρωτικός πίνακας_balanced'!$H$16:$H$23</c:f>
              <c:numCache>
                <c:formatCode>General</c:formatCode>
                <c:ptCount val="8"/>
                <c:pt idx="0">
                  <c:v>0.94113764930944399</c:v>
                </c:pt>
                <c:pt idx="1">
                  <c:v>0.92952618980963098</c:v>
                </c:pt>
                <c:pt idx="2">
                  <c:v>0.90943745397043696</c:v>
                </c:pt>
                <c:pt idx="3">
                  <c:v>0.90014594431957495</c:v>
                </c:pt>
                <c:pt idx="4">
                  <c:v>0.89605741712728304</c:v>
                </c:pt>
                <c:pt idx="5">
                  <c:v>0.89585322415080304</c:v>
                </c:pt>
                <c:pt idx="6">
                  <c:v>0.89120933423844295</c:v>
                </c:pt>
                <c:pt idx="7">
                  <c:v>0.866659514622376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74-4954-A307-DB0B39BD9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485918"/>
        <c:axId val="1233439995"/>
      </c:barChart>
      <c:catAx>
        <c:axId val="1652485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33439995"/>
        <c:crosses val="autoZero"/>
        <c:auto val="1"/>
        <c:lblAlgn val="ctr"/>
        <c:lblOffset val="100"/>
        <c:noMultiLvlLbl val="1"/>
      </c:catAx>
      <c:valAx>
        <c:axId val="1233439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524859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Recall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A6A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'Συγκεντρωτικός πίνακας_balanced'!$J$16:$J$23</c:f>
              <c:strCache>
                <c:ptCount val="8"/>
                <c:pt idx="0">
                  <c:v>Random Forest</c:v>
                </c:pt>
                <c:pt idx="1">
                  <c:v>SVM</c:v>
                </c:pt>
                <c:pt idx="2">
                  <c:v>Logistic Regression</c:v>
                </c:pt>
                <c:pt idx="3">
                  <c:v>LDA</c:v>
                </c:pt>
                <c:pt idx="4">
                  <c:v>k-NN</c:v>
                </c:pt>
                <c:pt idx="5">
                  <c:v>Decision Tree</c:v>
                </c:pt>
                <c:pt idx="6">
                  <c:v>Naive Bayes</c:v>
                </c:pt>
                <c:pt idx="7">
                  <c:v>XGBoost</c:v>
                </c:pt>
              </c:strCache>
            </c:strRef>
          </c:cat>
          <c:val>
            <c:numRef>
              <c:f>'Συγκεντρωτικός πίνακας_balanced'!$K$16:$K$23</c:f>
              <c:numCache>
                <c:formatCode>General</c:formatCode>
                <c:ptCount val="8"/>
                <c:pt idx="0">
                  <c:v>0.96226595338173504</c:v>
                </c:pt>
                <c:pt idx="1">
                  <c:v>0.94974700161475201</c:v>
                </c:pt>
                <c:pt idx="2">
                  <c:v>0.94125928071624299</c:v>
                </c:pt>
                <c:pt idx="3">
                  <c:v>0.93144416573191802</c:v>
                </c:pt>
                <c:pt idx="4">
                  <c:v>0.91655975267858503</c:v>
                </c:pt>
                <c:pt idx="5">
                  <c:v>0.91636415743217403</c:v>
                </c:pt>
                <c:pt idx="6">
                  <c:v>0.88022063828592501</c:v>
                </c:pt>
                <c:pt idx="7">
                  <c:v>0.79233870967741904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EA-4A69-BFF5-1E9DD20D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1917"/>
        <c:axId val="1889196715"/>
      </c:barChart>
      <c:catAx>
        <c:axId val="1304971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89196715"/>
        <c:crosses val="autoZero"/>
        <c:auto val="1"/>
        <c:lblAlgn val="ctr"/>
        <c:lblOffset val="100"/>
        <c:noMultiLvlLbl val="1"/>
      </c:catAx>
      <c:valAx>
        <c:axId val="1889196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0497191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47625</xdr:rowOff>
    </xdr:from>
    <xdr:ext cx="6200775" cy="3228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36195</xdr:rowOff>
    </xdr:from>
    <xdr:ext cx="6200775" cy="3228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68</xdr:row>
      <xdr:rowOff>62865</xdr:rowOff>
    </xdr:from>
    <xdr:ext cx="6200775" cy="32289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89</xdr:row>
      <xdr:rowOff>66675</xdr:rowOff>
    </xdr:from>
    <xdr:ext cx="6200775" cy="32289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00"/>
  <sheetViews>
    <sheetView workbookViewId="0"/>
  </sheetViews>
  <sheetFormatPr defaultColWidth="12.6640625" defaultRowHeight="15" customHeight="1" x14ac:dyDescent="0.25"/>
  <cols>
    <col min="1" max="1" width="17.44140625" customWidth="1"/>
    <col min="2" max="2" width="16.77734375" customWidth="1"/>
    <col min="3" max="3" width="28" customWidth="1"/>
    <col min="4" max="4" width="23.77734375" customWidth="1"/>
    <col min="5" max="5" width="44" customWidth="1"/>
    <col min="6" max="7" width="5.33203125" customWidth="1"/>
    <col min="8" max="9" width="4.33203125" customWidth="1"/>
    <col min="10" max="10" width="9.88671875" customWidth="1"/>
    <col min="11" max="11" width="18.6640625" customWidth="1"/>
    <col min="12" max="15" width="11.44140625" customWidth="1"/>
    <col min="16" max="26" width="8.6640625" customWidth="1"/>
  </cols>
  <sheetData>
    <row r="1" spans="1:15" ht="12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2.75" hidden="1" customHeight="1" x14ac:dyDescent="0.25">
      <c r="A2" s="1" t="s">
        <v>15</v>
      </c>
      <c r="B2" s="1" t="s">
        <v>16</v>
      </c>
      <c r="C2" s="1" t="s">
        <v>17</v>
      </c>
      <c r="D2" s="1">
        <v>744</v>
      </c>
      <c r="E2" s="1">
        <v>186</v>
      </c>
      <c r="F2" s="1">
        <v>558</v>
      </c>
      <c r="G2" s="1">
        <v>186</v>
      </c>
      <c r="H2" s="1">
        <v>0</v>
      </c>
      <c r="I2" s="1">
        <v>0</v>
      </c>
      <c r="J2" s="1">
        <v>0.86729999999999996</v>
      </c>
      <c r="K2" s="1" t="s">
        <v>18</v>
      </c>
      <c r="L2" s="3">
        <f t="shared" ref="L2:L65" si="0">F2 / (F2 + H2)</f>
        <v>1</v>
      </c>
      <c r="M2" s="3">
        <f t="shared" ref="M2:M65" si="1">F2 / (F2 + I2)</f>
        <v>1</v>
      </c>
      <c r="N2" s="3">
        <f t="shared" ref="N2:N65" si="2">2 * (L2 * M2) / (L2 + M2)</f>
        <v>1</v>
      </c>
      <c r="O2" s="3">
        <f t="shared" ref="O2:O13" si="3">(L2 + M2 + N2 + J2) / 4</f>
        <v>0.96682500000000005</v>
      </c>
    </row>
    <row r="3" spans="1:15" ht="12.75" hidden="1" customHeight="1" x14ac:dyDescent="0.25">
      <c r="A3" s="1" t="s">
        <v>19</v>
      </c>
      <c r="B3" s="1" t="s">
        <v>16</v>
      </c>
      <c r="C3" s="1" t="s">
        <v>17</v>
      </c>
      <c r="D3" s="1">
        <v>744</v>
      </c>
      <c r="E3" s="1">
        <v>186</v>
      </c>
      <c r="F3" s="1">
        <v>558</v>
      </c>
      <c r="G3" s="1">
        <v>186</v>
      </c>
      <c r="H3" s="1">
        <v>0</v>
      </c>
      <c r="I3" s="1">
        <v>0</v>
      </c>
      <c r="J3" s="1">
        <v>0.86750000000000005</v>
      </c>
      <c r="K3" s="1" t="s">
        <v>20</v>
      </c>
      <c r="L3" s="3">
        <f t="shared" si="0"/>
        <v>1</v>
      </c>
      <c r="M3" s="3">
        <f t="shared" si="1"/>
        <v>1</v>
      </c>
      <c r="N3" s="3">
        <f t="shared" si="2"/>
        <v>1</v>
      </c>
      <c r="O3" s="3">
        <f t="shared" si="3"/>
        <v>0.96687500000000004</v>
      </c>
    </row>
    <row r="4" spans="1:15" ht="12.75" hidden="1" customHeight="1" x14ac:dyDescent="0.25">
      <c r="A4" s="1" t="s">
        <v>21</v>
      </c>
      <c r="B4" s="1" t="s">
        <v>16</v>
      </c>
      <c r="C4" s="1" t="s">
        <v>17</v>
      </c>
      <c r="D4" s="1">
        <v>744</v>
      </c>
      <c r="E4" s="1">
        <v>186</v>
      </c>
      <c r="F4" s="1">
        <v>186</v>
      </c>
      <c r="G4" s="1">
        <v>558</v>
      </c>
      <c r="H4" s="1">
        <v>0</v>
      </c>
      <c r="I4" s="1">
        <v>0</v>
      </c>
      <c r="J4" s="1">
        <v>0.86829999999999996</v>
      </c>
      <c r="K4" s="1">
        <v>108</v>
      </c>
      <c r="L4" s="3">
        <f t="shared" si="0"/>
        <v>1</v>
      </c>
      <c r="M4" s="3">
        <f t="shared" si="1"/>
        <v>1</v>
      </c>
      <c r="N4" s="3">
        <f t="shared" si="2"/>
        <v>1</v>
      </c>
      <c r="O4" s="3">
        <f t="shared" si="3"/>
        <v>0.96707500000000002</v>
      </c>
    </row>
    <row r="5" spans="1:15" ht="12.75" hidden="1" customHeight="1" x14ac:dyDescent="0.25">
      <c r="A5" s="1" t="s">
        <v>15</v>
      </c>
      <c r="B5" s="1" t="s">
        <v>16</v>
      </c>
      <c r="C5" s="1" t="s">
        <v>17</v>
      </c>
      <c r="D5" s="1">
        <v>744</v>
      </c>
      <c r="E5" s="1">
        <v>186</v>
      </c>
      <c r="F5" s="1">
        <v>558</v>
      </c>
      <c r="G5" s="1">
        <v>186</v>
      </c>
      <c r="H5" s="1">
        <v>0</v>
      </c>
      <c r="I5" s="1">
        <v>0</v>
      </c>
      <c r="J5" s="1">
        <v>0.86890000000000001</v>
      </c>
      <c r="K5" s="1" t="s">
        <v>22</v>
      </c>
      <c r="L5" s="3">
        <f t="shared" si="0"/>
        <v>1</v>
      </c>
      <c r="M5" s="3">
        <f t="shared" si="1"/>
        <v>1</v>
      </c>
      <c r="N5" s="3">
        <f t="shared" si="2"/>
        <v>1</v>
      </c>
      <c r="O5" s="3">
        <f t="shared" si="3"/>
        <v>0.967225</v>
      </c>
    </row>
    <row r="6" spans="1:15" ht="12.75" hidden="1" customHeight="1" x14ac:dyDescent="0.25">
      <c r="A6" s="1" t="s">
        <v>19</v>
      </c>
      <c r="B6" s="1" t="s">
        <v>16</v>
      </c>
      <c r="C6" s="1" t="s">
        <v>17</v>
      </c>
      <c r="D6" s="1">
        <v>744</v>
      </c>
      <c r="E6" s="1">
        <v>186</v>
      </c>
      <c r="F6" s="1">
        <v>558</v>
      </c>
      <c r="G6" s="1">
        <v>186</v>
      </c>
      <c r="H6" s="1">
        <v>0</v>
      </c>
      <c r="I6" s="1">
        <v>0</v>
      </c>
      <c r="J6" s="1">
        <v>0.86909999999999998</v>
      </c>
      <c r="K6" s="1">
        <v>351</v>
      </c>
      <c r="L6" s="3">
        <f t="shared" si="0"/>
        <v>1</v>
      </c>
      <c r="M6" s="3">
        <f t="shared" si="1"/>
        <v>1</v>
      </c>
      <c r="N6" s="3">
        <f t="shared" si="2"/>
        <v>1</v>
      </c>
      <c r="O6" s="3">
        <f t="shared" si="3"/>
        <v>0.967275</v>
      </c>
    </row>
    <row r="7" spans="1:15" ht="12.75" hidden="1" customHeight="1" x14ac:dyDescent="0.25">
      <c r="A7" s="1" t="s">
        <v>21</v>
      </c>
      <c r="B7" s="1" t="s">
        <v>16</v>
      </c>
      <c r="C7" s="1" t="s">
        <v>17</v>
      </c>
      <c r="D7" s="1">
        <v>744</v>
      </c>
      <c r="E7" s="1">
        <v>186</v>
      </c>
      <c r="F7" s="1">
        <v>186</v>
      </c>
      <c r="G7" s="1">
        <v>558</v>
      </c>
      <c r="H7" s="1">
        <v>0</v>
      </c>
      <c r="I7" s="1">
        <v>0</v>
      </c>
      <c r="J7" s="1">
        <v>0.86990000000000001</v>
      </c>
      <c r="K7" s="1">
        <v>111</v>
      </c>
      <c r="L7" s="3">
        <f t="shared" si="0"/>
        <v>1</v>
      </c>
      <c r="M7" s="3">
        <f t="shared" si="1"/>
        <v>1</v>
      </c>
      <c r="N7" s="3">
        <f t="shared" si="2"/>
        <v>1</v>
      </c>
      <c r="O7" s="3">
        <f t="shared" si="3"/>
        <v>0.96747499999999997</v>
      </c>
    </row>
    <row r="8" spans="1:15" ht="12.75" hidden="1" customHeight="1" x14ac:dyDescent="0.25">
      <c r="A8" s="1" t="s">
        <v>15</v>
      </c>
      <c r="B8" s="1" t="s">
        <v>16</v>
      </c>
      <c r="C8" s="1" t="s">
        <v>17</v>
      </c>
      <c r="D8" s="1">
        <v>744</v>
      </c>
      <c r="E8" s="1">
        <v>186</v>
      </c>
      <c r="F8" s="1">
        <v>558</v>
      </c>
      <c r="G8" s="1">
        <v>186</v>
      </c>
      <c r="H8" s="1">
        <v>0</v>
      </c>
      <c r="I8" s="1">
        <v>0</v>
      </c>
      <c r="J8" s="1">
        <v>0.87050000000000005</v>
      </c>
      <c r="K8" s="1" t="s">
        <v>23</v>
      </c>
      <c r="L8" s="3">
        <f t="shared" si="0"/>
        <v>1</v>
      </c>
      <c r="M8" s="3">
        <f t="shared" si="1"/>
        <v>1</v>
      </c>
      <c r="N8" s="3">
        <f t="shared" si="2"/>
        <v>1</v>
      </c>
      <c r="O8" s="3">
        <f t="shared" si="3"/>
        <v>0.96762499999999996</v>
      </c>
    </row>
    <row r="9" spans="1:15" ht="12.75" hidden="1" customHeight="1" x14ac:dyDescent="0.25">
      <c r="A9" s="1" t="s">
        <v>19</v>
      </c>
      <c r="B9" s="1" t="s">
        <v>16</v>
      </c>
      <c r="C9" s="1" t="s">
        <v>17</v>
      </c>
      <c r="D9" s="1">
        <v>744</v>
      </c>
      <c r="E9" s="1">
        <v>186</v>
      </c>
      <c r="F9" s="1">
        <v>558</v>
      </c>
      <c r="G9" s="1">
        <v>186</v>
      </c>
      <c r="H9" s="1">
        <v>0</v>
      </c>
      <c r="I9" s="1">
        <v>0</v>
      </c>
      <c r="J9" s="1">
        <v>0.87070000000000003</v>
      </c>
      <c r="K9" s="1">
        <v>476</v>
      </c>
      <c r="L9" s="3">
        <f t="shared" si="0"/>
        <v>1</v>
      </c>
      <c r="M9" s="3">
        <f t="shared" si="1"/>
        <v>1</v>
      </c>
      <c r="N9" s="3">
        <f t="shared" si="2"/>
        <v>1</v>
      </c>
      <c r="O9" s="3">
        <f t="shared" si="3"/>
        <v>0.96767500000000006</v>
      </c>
    </row>
    <row r="10" spans="1:15" ht="12.75" hidden="1" customHeight="1" x14ac:dyDescent="0.25">
      <c r="A10" s="1" t="s">
        <v>21</v>
      </c>
      <c r="B10" s="1" t="s">
        <v>16</v>
      </c>
      <c r="C10" s="1" t="s">
        <v>17</v>
      </c>
      <c r="D10" s="1">
        <v>744</v>
      </c>
      <c r="E10" s="1">
        <v>186</v>
      </c>
      <c r="F10" s="1">
        <v>186</v>
      </c>
      <c r="G10" s="1">
        <v>558</v>
      </c>
      <c r="H10" s="1">
        <v>0</v>
      </c>
      <c r="I10" s="1">
        <v>0</v>
      </c>
      <c r="J10" s="1">
        <v>0.87150000000000005</v>
      </c>
      <c r="K10" s="1" t="s">
        <v>24</v>
      </c>
      <c r="L10" s="3">
        <f t="shared" si="0"/>
        <v>1</v>
      </c>
      <c r="M10" s="3">
        <f t="shared" si="1"/>
        <v>1</v>
      </c>
      <c r="N10" s="3">
        <f t="shared" si="2"/>
        <v>1</v>
      </c>
      <c r="O10" s="3">
        <f t="shared" si="3"/>
        <v>0.96787500000000004</v>
      </c>
    </row>
    <row r="11" spans="1:15" ht="12.75" hidden="1" customHeight="1" x14ac:dyDescent="0.25">
      <c r="A11" s="1" t="s">
        <v>15</v>
      </c>
      <c r="B11" s="1" t="s">
        <v>16</v>
      </c>
      <c r="C11" s="1" t="s">
        <v>17</v>
      </c>
      <c r="D11" s="1">
        <v>744</v>
      </c>
      <c r="E11" s="1">
        <v>186</v>
      </c>
      <c r="F11" s="1">
        <v>558</v>
      </c>
      <c r="G11" s="1">
        <v>186</v>
      </c>
      <c r="H11" s="1">
        <v>0</v>
      </c>
      <c r="I11" s="1">
        <v>0</v>
      </c>
      <c r="J11" s="1">
        <v>0.87209999999999999</v>
      </c>
      <c r="K11" s="1" t="s">
        <v>25</v>
      </c>
      <c r="L11" s="3">
        <f t="shared" si="0"/>
        <v>1</v>
      </c>
      <c r="M11" s="3">
        <f t="shared" si="1"/>
        <v>1</v>
      </c>
      <c r="N11" s="3">
        <f t="shared" si="2"/>
        <v>1</v>
      </c>
      <c r="O11" s="3">
        <f t="shared" si="3"/>
        <v>0.96802500000000002</v>
      </c>
    </row>
    <row r="12" spans="1:15" ht="12.75" hidden="1" customHeight="1" x14ac:dyDescent="0.25">
      <c r="A12" s="1" t="s">
        <v>19</v>
      </c>
      <c r="B12" s="1" t="s">
        <v>16</v>
      </c>
      <c r="C12" s="1" t="s">
        <v>17</v>
      </c>
      <c r="D12" s="1">
        <v>744</v>
      </c>
      <c r="E12" s="1">
        <v>186</v>
      </c>
      <c r="F12" s="1">
        <v>558</v>
      </c>
      <c r="G12" s="1">
        <v>186</v>
      </c>
      <c r="H12" s="1">
        <v>0</v>
      </c>
      <c r="I12" s="1">
        <v>0</v>
      </c>
      <c r="J12" s="1">
        <v>0.87229999999999996</v>
      </c>
      <c r="K12" s="1" t="s">
        <v>26</v>
      </c>
      <c r="L12" s="3">
        <f t="shared" si="0"/>
        <v>1</v>
      </c>
      <c r="M12" s="3">
        <f t="shared" si="1"/>
        <v>1</v>
      </c>
      <c r="N12" s="3">
        <f t="shared" si="2"/>
        <v>1</v>
      </c>
      <c r="O12" s="3">
        <f t="shared" si="3"/>
        <v>0.96807500000000002</v>
      </c>
    </row>
    <row r="13" spans="1:15" ht="12.75" hidden="1" customHeight="1" x14ac:dyDescent="0.25">
      <c r="A13" s="1" t="s">
        <v>21</v>
      </c>
      <c r="B13" s="1" t="s">
        <v>16</v>
      </c>
      <c r="C13" s="1" t="s">
        <v>17</v>
      </c>
      <c r="D13" s="1">
        <v>744</v>
      </c>
      <c r="E13" s="1">
        <v>186</v>
      </c>
      <c r="F13" s="1">
        <v>186</v>
      </c>
      <c r="G13" s="1">
        <v>558</v>
      </c>
      <c r="H13" s="1">
        <v>0</v>
      </c>
      <c r="I13" s="1">
        <v>0</v>
      </c>
      <c r="J13" s="1">
        <v>0.87309999999999999</v>
      </c>
      <c r="K13" s="1">
        <v>116</v>
      </c>
      <c r="L13" s="3">
        <f t="shared" si="0"/>
        <v>1</v>
      </c>
      <c r="M13" s="3">
        <f t="shared" si="1"/>
        <v>1</v>
      </c>
      <c r="N13" s="3">
        <f t="shared" si="2"/>
        <v>1</v>
      </c>
      <c r="O13" s="3">
        <f t="shared" si="3"/>
        <v>0.968275</v>
      </c>
    </row>
    <row r="14" spans="1:15" ht="12.75" customHeight="1" x14ac:dyDescent="0.25">
      <c r="A14" s="1" t="s">
        <v>27</v>
      </c>
      <c r="B14" s="1" t="s">
        <v>28</v>
      </c>
      <c r="C14" s="1" t="s">
        <v>17</v>
      </c>
      <c r="D14" s="1">
        <v>744</v>
      </c>
      <c r="E14" s="1">
        <v>186</v>
      </c>
      <c r="F14" s="1">
        <v>2500</v>
      </c>
      <c r="G14" s="1">
        <v>28</v>
      </c>
      <c r="H14" s="1">
        <v>34</v>
      </c>
      <c r="I14" s="1">
        <v>117</v>
      </c>
      <c r="J14" s="1">
        <v>0.86980000000000002</v>
      </c>
      <c r="K14" s="1">
        <v>153</v>
      </c>
      <c r="L14" s="3">
        <f t="shared" si="0"/>
        <v>0.98658247829518553</v>
      </c>
      <c r="M14" s="3">
        <f t="shared" si="1"/>
        <v>0.95529231944975157</v>
      </c>
      <c r="N14" s="3">
        <f t="shared" si="2"/>
        <v>0.97068530382450013</v>
      </c>
      <c r="O14" s="1">
        <f t="shared" ref="O14:O37" si="4">(F14+G14)/(F14+G14+H14+I14)</f>
        <v>0.94363568495707351</v>
      </c>
    </row>
    <row r="15" spans="1:15" ht="12.75" customHeight="1" x14ac:dyDescent="0.25">
      <c r="A15" s="1" t="s">
        <v>29</v>
      </c>
      <c r="B15" s="1" t="s">
        <v>28</v>
      </c>
      <c r="C15" s="1" t="s">
        <v>17</v>
      </c>
      <c r="D15" s="1">
        <v>744</v>
      </c>
      <c r="E15" s="1">
        <v>186</v>
      </c>
      <c r="F15" s="1">
        <v>2473</v>
      </c>
      <c r="G15" s="1">
        <v>27</v>
      </c>
      <c r="H15" s="1">
        <v>35</v>
      </c>
      <c r="I15" s="1">
        <v>144</v>
      </c>
      <c r="J15" s="1">
        <v>0.86880000000000002</v>
      </c>
      <c r="K15" s="1">
        <v>1.09E-2</v>
      </c>
      <c r="L15" s="3">
        <f t="shared" si="0"/>
        <v>0.98604465709728872</v>
      </c>
      <c r="M15" s="3">
        <f t="shared" si="1"/>
        <v>0.94497516239969426</v>
      </c>
      <c r="N15" s="3">
        <f t="shared" si="2"/>
        <v>0.9650731707317074</v>
      </c>
      <c r="O15" s="1">
        <f t="shared" si="4"/>
        <v>0.93318402388951105</v>
      </c>
    </row>
    <row r="16" spans="1:15" ht="12.75" customHeight="1" x14ac:dyDescent="0.25">
      <c r="A16" s="1" t="s">
        <v>27</v>
      </c>
      <c r="B16" s="1" t="s">
        <v>28</v>
      </c>
      <c r="C16" s="1" t="s">
        <v>17</v>
      </c>
      <c r="D16" s="1">
        <v>744</v>
      </c>
      <c r="E16" s="1">
        <v>186</v>
      </c>
      <c r="F16" s="1">
        <v>2477</v>
      </c>
      <c r="G16" s="1">
        <v>15</v>
      </c>
      <c r="H16" s="1">
        <v>47</v>
      </c>
      <c r="I16" s="1">
        <v>140</v>
      </c>
      <c r="J16" s="1">
        <v>0.87139999999999995</v>
      </c>
      <c r="K16" s="1">
        <v>0.25559999999999999</v>
      </c>
      <c r="L16" s="3">
        <f t="shared" si="0"/>
        <v>0.98137876386687795</v>
      </c>
      <c r="M16" s="3">
        <f t="shared" si="1"/>
        <v>0.94650363011081395</v>
      </c>
      <c r="N16" s="3">
        <f t="shared" si="2"/>
        <v>0.96362575374440773</v>
      </c>
      <c r="O16" s="1">
        <f t="shared" si="4"/>
        <v>0.93019783501306452</v>
      </c>
    </row>
    <row r="17" spans="1:15" ht="12.75" customHeight="1" x14ac:dyDescent="0.25">
      <c r="A17" s="1" t="s">
        <v>19</v>
      </c>
      <c r="B17" s="1" t="s">
        <v>28</v>
      </c>
      <c r="C17" s="1" t="s">
        <v>17</v>
      </c>
      <c r="D17" s="1">
        <v>744</v>
      </c>
      <c r="E17" s="1">
        <v>186</v>
      </c>
      <c r="F17" s="1">
        <v>2451</v>
      </c>
      <c r="G17" s="1">
        <v>37</v>
      </c>
      <c r="H17" s="1">
        <v>25</v>
      </c>
      <c r="I17" s="1">
        <v>166</v>
      </c>
      <c r="J17" s="1">
        <v>0.86919999999999997</v>
      </c>
      <c r="K17" s="1">
        <v>351</v>
      </c>
      <c r="L17" s="3">
        <f t="shared" si="0"/>
        <v>0.98990306946688211</v>
      </c>
      <c r="M17" s="3">
        <f t="shared" si="1"/>
        <v>0.93656858998853654</v>
      </c>
      <c r="N17" s="3">
        <f t="shared" si="2"/>
        <v>0.9624975456508934</v>
      </c>
      <c r="O17" s="1">
        <f t="shared" si="4"/>
        <v>0.92870474057484131</v>
      </c>
    </row>
    <row r="18" spans="1:15" ht="12.75" customHeight="1" x14ac:dyDescent="0.25">
      <c r="A18" s="1" t="s">
        <v>30</v>
      </c>
      <c r="B18" s="1" t="s">
        <v>28</v>
      </c>
      <c r="C18" s="1" t="s">
        <v>17</v>
      </c>
      <c r="D18" s="1">
        <v>744</v>
      </c>
      <c r="E18" s="1">
        <v>186</v>
      </c>
      <c r="F18" s="1">
        <v>2438</v>
      </c>
      <c r="G18" s="1">
        <v>31</v>
      </c>
      <c r="H18" s="1">
        <v>31</v>
      </c>
      <c r="I18" s="1">
        <v>179</v>
      </c>
      <c r="J18" s="1">
        <v>0.86860000000000004</v>
      </c>
      <c r="K18" s="1">
        <v>5.8999999999999999E-3</v>
      </c>
      <c r="L18" s="3">
        <f t="shared" si="0"/>
        <v>0.987444309437019</v>
      </c>
      <c r="M18" s="3">
        <f t="shared" si="1"/>
        <v>0.93160106992739777</v>
      </c>
      <c r="N18" s="3">
        <f t="shared" si="2"/>
        <v>0.95871018482107739</v>
      </c>
      <c r="O18" s="1">
        <f t="shared" si="4"/>
        <v>0.92161254199328102</v>
      </c>
    </row>
    <row r="19" spans="1:15" ht="12.75" customHeight="1" x14ac:dyDescent="0.25">
      <c r="A19" s="1" t="s">
        <v>29</v>
      </c>
      <c r="B19" s="1" t="s">
        <v>28</v>
      </c>
      <c r="C19" s="1" t="s">
        <v>17</v>
      </c>
      <c r="D19" s="1">
        <v>744</v>
      </c>
      <c r="E19" s="1">
        <v>186</v>
      </c>
      <c r="F19" s="1">
        <v>2452</v>
      </c>
      <c r="G19" s="1">
        <v>14</v>
      </c>
      <c r="H19" s="1">
        <v>48</v>
      </c>
      <c r="I19" s="1">
        <v>165</v>
      </c>
      <c r="J19" s="1">
        <v>0.87039999999999995</v>
      </c>
      <c r="K19" s="1">
        <v>1.04E-2</v>
      </c>
      <c r="L19" s="3">
        <f t="shared" si="0"/>
        <v>0.98080000000000001</v>
      </c>
      <c r="M19" s="3">
        <f t="shared" si="1"/>
        <v>0.93695070691631643</v>
      </c>
      <c r="N19" s="3">
        <f t="shared" si="2"/>
        <v>0.95837404729333597</v>
      </c>
      <c r="O19" s="1">
        <f t="shared" si="4"/>
        <v>0.92049272116461367</v>
      </c>
    </row>
    <row r="20" spans="1:15" ht="12.75" customHeight="1" x14ac:dyDescent="0.25">
      <c r="A20" s="1" t="s">
        <v>29</v>
      </c>
      <c r="B20" s="1" t="s">
        <v>28</v>
      </c>
      <c r="C20" s="1" t="s">
        <v>17</v>
      </c>
      <c r="D20" s="1">
        <v>744</v>
      </c>
      <c r="E20" s="1">
        <v>186</v>
      </c>
      <c r="F20" s="1">
        <v>2445</v>
      </c>
      <c r="G20" s="1">
        <v>20</v>
      </c>
      <c r="H20" s="1">
        <v>42</v>
      </c>
      <c r="I20" s="1">
        <v>172</v>
      </c>
      <c r="J20" s="1">
        <v>0.872</v>
      </c>
      <c r="K20" s="1">
        <v>1.09E-2</v>
      </c>
      <c r="L20" s="3">
        <f t="shared" si="0"/>
        <v>0.98311218335343786</v>
      </c>
      <c r="M20" s="3">
        <f t="shared" si="1"/>
        <v>0.93427588842185705</v>
      </c>
      <c r="N20" s="3">
        <f t="shared" si="2"/>
        <v>0.95807210031347967</v>
      </c>
      <c r="O20" s="1">
        <f t="shared" si="4"/>
        <v>0.92011944755505781</v>
      </c>
    </row>
    <row r="21" spans="1:15" ht="12.75" customHeight="1" x14ac:dyDescent="0.25">
      <c r="A21" s="1" t="s">
        <v>27</v>
      </c>
      <c r="B21" s="1" t="s">
        <v>28</v>
      </c>
      <c r="C21" s="1" t="s">
        <v>17</v>
      </c>
      <c r="D21" s="1">
        <v>744</v>
      </c>
      <c r="E21" s="1">
        <v>186</v>
      </c>
      <c r="F21" s="1">
        <v>2439</v>
      </c>
      <c r="G21" s="1">
        <v>24</v>
      </c>
      <c r="H21" s="1">
        <v>38</v>
      </c>
      <c r="I21" s="1">
        <v>178</v>
      </c>
      <c r="J21" s="1">
        <v>0.873</v>
      </c>
      <c r="K21" s="1">
        <v>0.15529999999999999</v>
      </c>
      <c r="L21" s="3">
        <f t="shared" si="0"/>
        <v>0.98465886152603954</v>
      </c>
      <c r="M21" s="3">
        <f t="shared" si="1"/>
        <v>0.93198318685517767</v>
      </c>
      <c r="N21" s="3">
        <f t="shared" si="2"/>
        <v>0.95759717314487625</v>
      </c>
      <c r="O21" s="1">
        <f t="shared" si="4"/>
        <v>0.91937290033594621</v>
      </c>
    </row>
    <row r="22" spans="1:15" ht="12.75" customHeight="1" x14ac:dyDescent="0.25">
      <c r="A22" s="1" t="s">
        <v>29</v>
      </c>
      <c r="B22" s="1" t="s">
        <v>28</v>
      </c>
      <c r="C22" s="1" t="s">
        <v>17</v>
      </c>
      <c r="D22" s="1">
        <v>744</v>
      </c>
      <c r="E22" s="1">
        <v>186</v>
      </c>
      <c r="F22" s="1">
        <v>2431</v>
      </c>
      <c r="G22" s="1">
        <v>30</v>
      </c>
      <c r="H22" s="1">
        <v>32</v>
      </c>
      <c r="I22" s="1">
        <v>186</v>
      </c>
      <c r="J22" s="1">
        <v>0.86719999999999997</v>
      </c>
      <c r="K22" s="1">
        <v>1.09E-2</v>
      </c>
      <c r="L22" s="3">
        <f t="shared" si="0"/>
        <v>0.98700771416971178</v>
      </c>
      <c r="M22" s="3">
        <f t="shared" si="1"/>
        <v>0.9289262514329385</v>
      </c>
      <c r="N22" s="3">
        <f t="shared" si="2"/>
        <v>0.95708661417322849</v>
      </c>
      <c r="O22" s="1">
        <f t="shared" si="4"/>
        <v>0.9186263531168346</v>
      </c>
    </row>
    <row r="23" spans="1:15" ht="12.75" customHeight="1" x14ac:dyDescent="0.25">
      <c r="A23" s="1" t="s">
        <v>30</v>
      </c>
      <c r="B23" s="1" t="s">
        <v>28</v>
      </c>
      <c r="C23" s="1" t="s">
        <v>17</v>
      </c>
      <c r="D23" s="1">
        <v>744</v>
      </c>
      <c r="E23" s="1">
        <v>186</v>
      </c>
      <c r="F23" s="1">
        <v>2435</v>
      </c>
      <c r="G23" s="1">
        <v>19</v>
      </c>
      <c r="H23" s="1">
        <v>43</v>
      </c>
      <c r="I23" s="1">
        <v>182</v>
      </c>
      <c r="J23" s="1">
        <v>0.87019999999999997</v>
      </c>
      <c r="K23" s="1">
        <v>5.7999999999999996E-3</v>
      </c>
      <c r="L23" s="3">
        <f t="shared" si="0"/>
        <v>0.98264729620661828</v>
      </c>
      <c r="M23" s="3">
        <f t="shared" si="1"/>
        <v>0.93045471914405808</v>
      </c>
      <c r="N23" s="3">
        <f t="shared" si="2"/>
        <v>0.95583905789990187</v>
      </c>
      <c r="O23" s="1">
        <f t="shared" si="4"/>
        <v>0.91601343784994405</v>
      </c>
    </row>
    <row r="24" spans="1:15" ht="12.75" customHeight="1" x14ac:dyDescent="0.25">
      <c r="A24" s="1" t="s">
        <v>19</v>
      </c>
      <c r="B24" s="1" t="s">
        <v>28</v>
      </c>
      <c r="C24" s="1" t="s">
        <v>17</v>
      </c>
      <c r="D24" s="1">
        <v>744</v>
      </c>
      <c r="E24" s="1">
        <v>186</v>
      </c>
      <c r="F24" s="1">
        <v>2428</v>
      </c>
      <c r="G24" s="1">
        <v>26</v>
      </c>
      <c r="H24" s="1">
        <v>36</v>
      </c>
      <c r="I24" s="1">
        <v>189</v>
      </c>
      <c r="J24" s="1">
        <v>0.87080000000000002</v>
      </c>
      <c r="K24" s="1">
        <v>476</v>
      </c>
      <c r="L24" s="3">
        <f t="shared" si="0"/>
        <v>0.98538961038961037</v>
      </c>
      <c r="M24" s="3">
        <f t="shared" si="1"/>
        <v>0.92777990064959881</v>
      </c>
      <c r="N24" s="3">
        <f t="shared" si="2"/>
        <v>0.95571737846880545</v>
      </c>
      <c r="O24" s="1">
        <f t="shared" si="4"/>
        <v>0.91601343784994405</v>
      </c>
    </row>
    <row r="25" spans="1:15" ht="12.75" customHeight="1" x14ac:dyDescent="0.25">
      <c r="A25" s="1" t="s">
        <v>27</v>
      </c>
      <c r="B25" s="1" t="s">
        <v>28</v>
      </c>
      <c r="C25" s="1" t="s">
        <v>17</v>
      </c>
      <c r="D25" s="1">
        <v>744</v>
      </c>
      <c r="E25" s="1">
        <v>186</v>
      </c>
      <c r="F25" s="1">
        <v>2422</v>
      </c>
      <c r="G25" s="1">
        <v>32</v>
      </c>
      <c r="H25" s="1">
        <v>30</v>
      </c>
      <c r="I25" s="1">
        <v>195</v>
      </c>
      <c r="J25" s="1">
        <v>0.86819999999999997</v>
      </c>
      <c r="K25" s="1">
        <v>0.16109999999999999</v>
      </c>
      <c r="L25" s="3">
        <f t="shared" si="0"/>
        <v>0.9877650897226754</v>
      </c>
      <c r="M25" s="3">
        <f t="shared" si="1"/>
        <v>0.92548719908291932</v>
      </c>
      <c r="N25" s="3">
        <f t="shared" si="2"/>
        <v>0.95561254685342278</v>
      </c>
      <c r="O25" s="1">
        <f t="shared" si="4"/>
        <v>0.91601343784994405</v>
      </c>
    </row>
    <row r="26" spans="1:15" ht="12.75" customHeight="1" x14ac:dyDescent="0.25">
      <c r="A26" s="1" t="s">
        <v>19</v>
      </c>
      <c r="B26" s="1" t="s">
        <v>28</v>
      </c>
      <c r="C26" s="1" t="s">
        <v>17</v>
      </c>
      <c r="D26" s="1">
        <v>744</v>
      </c>
      <c r="E26" s="1">
        <v>186</v>
      </c>
      <c r="F26" s="1">
        <v>2417</v>
      </c>
      <c r="G26" s="1">
        <v>29</v>
      </c>
      <c r="H26" s="1">
        <v>33</v>
      </c>
      <c r="I26" s="1">
        <v>200</v>
      </c>
      <c r="J26" s="1">
        <v>0.87239999999999995</v>
      </c>
      <c r="K26" s="1">
        <v>0.36809999999999998</v>
      </c>
      <c r="L26" s="3">
        <f t="shared" si="0"/>
        <v>0.98653061224489791</v>
      </c>
      <c r="M26" s="3">
        <f t="shared" si="1"/>
        <v>0.92357661444401984</v>
      </c>
      <c r="N26" s="3">
        <f t="shared" si="2"/>
        <v>0.95401618314584558</v>
      </c>
      <c r="O26" s="1">
        <f t="shared" si="4"/>
        <v>0.91302724897349752</v>
      </c>
    </row>
    <row r="27" spans="1:15" ht="12.75" customHeight="1" x14ac:dyDescent="0.25">
      <c r="A27" s="1" t="s">
        <v>30</v>
      </c>
      <c r="B27" s="1" t="s">
        <v>28</v>
      </c>
      <c r="C27" s="1" t="s">
        <v>17</v>
      </c>
      <c r="D27" s="1">
        <v>744</v>
      </c>
      <c r="E27" s="1">
        <v>186</v>
      </c>
      <c r="F27" s="1">
        <v>2422</v>
      </c>
      <c r="G27" s="1">
        <v>21</v>
      </c>
      <c r="H27" s="1">
        <v>41</v>
      </c>
      <c r="I27" s="1">
        <v>195</v>
      </c>
      <c r="J27" s="1">
        <v>0.87180000000000002</v>
      </c>
      <c r="K27" s="1">
        <v>5.7999999999999996E-3</v>
      </c>
      <c r="L27" s="3">
        <f t="shared" si="0"/>
        <v>0.98335363377994311</v>
      </c>
      <c r="M27" s="3">
        <f t="shared" si="1"/>
        <v>0.92548719908291932</v>
      </c>
      <c r="N27" s="3">
        <f t="shared" si="2"/>
        <v>0.95354330708661417</v>
      </c>
      <c r="O27" s="1">
        <f t="shared" si="4"/>
        <v>0.91190742814483017</v>
      </c>
    </row>
    <row r="28" spans="1:15" ht="12.75" customHeight="1" x14ac:dyDescent="0.25">
      <c r="A28" s="1" t="s">
        <v>30</v>
      </c>
      <c r="B28" s="1" t="s">
        <v>28</v>
      </c>
      <c r="C28" s="1" t="s">
        <v>17</v>
      </c>
      <c r="D28" s="1">
        <v>744</v>
      </c>
      <c r="E28" s="1">
        <v>186</v>
      </c>
      <c r="F28" s="1">
        <v>2399</v>
      </c>
      <c r="G28" s="1">
        <v>31</v>
      </c>
      <c r="H28" s="1">
        <v>31</v>
      </c>
      <c r="I28" s="1">
        <v>218</v>
      </c>
      <c r="J28" s="1">
        <v>0.86699999999999999</v>
      </c>
      <c r="K28" s="1">
        <v>6.8999999999999999E-3</v>
      </c>
      <c r="L28" s="3">
        <f t="shared" si="0"/>
        <v>0.98724279835390949</v>
      </c>
      <c r="M28" s="3">
        <f t="shared" si="1"/>
        <v>0.9166985097439817</v>
      </c>
      <c r="N28" s="3">
        <f t="shared" si="2"/>
        <v>0.950663760649891</v>
      </c>
      <c r="O28" s="1">
        <f t="shared" si="4"/>
        <v>0.90705487122060469</v>
      </c>
    </row>
    <row r="29" spans="1:15" ht="12.75" customHeight="1" x14ac:dyDescent="0.25">
      <c r="A29" s="1" t="s">
        <v>19</v>
      </c>
      <c r="B29" s="1" t="s">
        <v>28</v>
      </c>
      <c r="C29" s="1" t="s">
        <v>17</v>
      </c>
      <c r="D29" s="1">
        <v>744</v>
      </c>
      <c r="E29" s="1">
        <v>186</v>
      </c>
      <c r="F29" s="1">
        <v>2382</v>
      </c>
      <c r="G29" s="1">
        <v>33</v>
      </c>
      <c r="H29" s="1">
        <v>29</v>
      </c>
      <c r="I29" s="1">
        <v>235</v>
      </c>
      <c r="J29" s="1">
        <v>0.86760000000000004</v>
      </c>
      <c r="K29" s="1">
        <v>0.34110000000000001</v>
      </c>
      <c r="L29" s="3">
        <f t="shared" si="0"/>
        <v>0.9879717959352966</v>
      </c>
      <c r="M29" s="3">
        <f t="shared" si="1"/>
        <v>0.91020252197172336</v>
      </c>
      <c r="N29" s="3">
        <f t="shared" si="2"/>
        <v>0.94749403341288796</v>
      </c>
      <c r="O29" s="1">
        <f t="shared" si="4"/>
        <v>0.9014557670772676</v>
      </c>
    </row>
    <row r="30" spans="1:15" ht="12.75" customHeight="1" x14ac:dyDescent="0.25">
      <c r="A30" s="1" t="s">
        <v>31</v>
      </c>
      <c r="B30" s="1" t="s">
        <v>28</v>
      </c>
      <c r="C30" s="1" t="s">
        <v>17</v>
      </c>
      <c r="D30" s="1">
        <v>744</v>
      </c>
      <c r="E30" s="1">
        <v>186</v>
      </c>
      <c r="F30" s="1">
        <v>2371</v>
      </c>
      <c r="G30" s="1">
        <v>17</v>
      </c>
      <c r="H30" s="1">
        <v>45</v>
      </c>
      <c r="I30" s="1">
        <v>246</v>
      </c>
      <c r="J30" s="1">
        <v>0.871</v>
      </c>
      <c r="K30" s="1">
        <v>9.01E-2</v>
      </c>
      <c r="L30" s="3">
        <f t="shared" si="0"/>
        <v>0.98137417218543044</v>
      </c>
      <c r="M30" s="3">
        <f t="shared" si="1"/>
        <v>0.9059992357661445</v>
      </c>
      <c r="N30" s="3">
        <f t="shared" si="2"/>
        <v>0.94218160143055829</v>
      </c>
      <c r="O30" s="1">
        <f t="shared" si="4"/>
        <v>0.89137737961926089</v>
      </c>
    </row>
    <row r="31" spans="1:15" ht="12.75" customHeight="1" x14ac:dyDescent="0.25">
      <c r="A31" s="1" t="s">
        <v>31</v>
      </c>
      <c r="B31" s="1" t="s">
        <v>28</v>
      </c>
      <c r="C31" s="1" t="s">
        <v>17</v>
      </c>
      <c r="D31" s="1">
        <v>744</v>
      </c>
      <c r="E31" s="1">
        <v>186</v>
      </c>
      <c r="F31" s="1">
        <v>2354</v>
      </c>
      <c r="G31" s="1">
        <v>31</v>
      </c>
      <c r="H31" s="1">
        <v>31</v>
      </c>
      <c r="I31" s="1">
        <v>263</v>
      </c>
      <c r="J31" s="1">
        <v>0.86939999999999995</v>
      </c>
      <c r="K31" s="1">
        <v>5.7599999999999998E-2</v>
      </c>
      <c r="L31" s="3">
        <f t="shared" si="0"/>
        <v>0.98700209643605874</v>
      </c>
      <c r="M31" s="3">
        <f t="shared" si="1"/>
        <v>0.89950324799388615</v>
      </c>
      <c r="N31" s="3">
        <f t="shared" si="2"/>
        <v>0.9412235105957617</v>
      </c>
      <c r="O31" s="1">
        <f t="shared" si="4"/>
        <v>0.89025755879059354</v>
      </c>
    </row>
    <row r="32" spans="1:15" ht="12.75" customHeight="1" x14ac:dyDescent="0.25">
      <c r="A32" s="1" t="s">
        <v>31</v>
      </c>
      <c r="B32" s="1" t="s">
        <v>28</v>
      </c>
      <c r="C32" s="1" t="s">
        <v>17</v>
      </c>
      <c r="D32" s="1">
        <v>744</v>
      </c>
      <c r="E32" s="1">
        <v>186</v>
      </c>
      <c r="F32" s="1">
        <v>2337</v>
      </c>
      <c r="G32" s="1">
        <v>31</v>
      </c>
      <c r="H32" s="1">
        <v>31</v>
      </c>
      <c r="I32" s="1">
        <v>280</v>
      </c>
      <c r="J32" s="1">
        <v>0.87260000000000004</v>
      </c>
      <c r="K32" s="1">
        <v>5.4300000000000001E-2</v>
      </c>
      <c r="L32" s="3">
        <f t="shared" si="0"/>
        <v>0.98690878378378377</v>
      </c>
      <c r="M32" s="3">
        <f t="shared" si="1"/>
        <v>0.8930072602216278</v>
      </c>
      <c r="N32" s="3">
        <f t="shared" si="2"/>
        <v>0.93761283851554666</v>
      </c>
      <c r="O32" s="1">
        <f t="shared" si="4"/>
        <v>0.88391190742814485</v>
      </c>
    </row>
    <row r="33" spans="1:15" ht="12.75" customHeight="1" x14ac:dyDescent="0.25">
      <c r="A33" s="1" t="s">
        <v>32</v>
      </c>
      <c r="B33" s="1" t="s">
        <v>28</v>
      </c>
      <c r="C33" s="1" t="s">
        <v>17</v>
      </c>
      <c r="D33" s="1">
        <v>744</v>
      </c>
      <c r="E33" s="1">
        <v>186</v>
      </c>
      <c r="F33" s="1">
        <v>2318</v>
      </c>
      <c r="G33" s="1">
        <v>30</v>
      </c>
      <c r="H33" s="1">
        <v>32</v>
      </c>
      <c r="I33" s="1">
        <v>299</v>
      </c>
      <c r="J33" s="1">
        <v>0.86799999999999999</v>
      </c>
      <c r="K33" s="1">
        <v>5.7000000000000002E-3</v>
      </c>
      <c r="L33" s="3">
        <f t="shared" si="0"/>
        <v>0.9863829787234043</v>
      </c>
      <c r="M33" s="3">
        <f t="shared" si="1"/>
        <v>0.88574703859380965</v>
      </c>
      <c r="N33" s="3">
        <f t="shared" si="2"/>
        <v>0.93336017716931752</v>
      </c>
      <c r="O33" s="1">
        <f t="shared" si="4"/>
        <v>0.8764464352370287</v>
      </c>
    </row>
    <row r="34" spans="1:15" ht="12.75" customHeight="1" x14ac:dyDescent="0.25">
      <c r="A34" s="1" t="s">
        <v>31</v>
      </c>
      <c r="B34" s="1" t="s">
        <v>28</v>
      </c>
      <c r="C34" s="1" t="s">
        <v>17</v>
      </c>
      <c r="D34" s="1">
        <v>744</v>
      </c>
      <c r="E34" s="1">
        <v>186</v>
      </c>
      <c r="F34" s="1">
        <v>2311</v>
      </c>
      <c r="G34" s="1">
        <v>33</v>
      </c>
      <c r="H34" s="1">
        <v>29</v>
      </c>
      <c r="I34" s="1">
        <v>306</v>
      </c>
      <c r="J34" s="1">
        <v>0.86780000000000002</v>
      </c>
      <c r="K34" s="1">
        <v>5.5500000000000001E-2</v>
      </c>
      <c r="L34" s="3">
        <f t="shared" si="0"/>
        <v>0.98760683760683765</v>
      </c>
      <c r="M34" s="3">
        <f t="shared" si="1"/>
        <v>0.88307222009935038</v>
      </c>
      <c r="N34" s="3">
        <f t="shared" si="2"/>
        <v>0.93241880169457336</v>
      </c>
      <c r="O34" s="1">
        <f t="shared" si="4"/>
        <v>0.87495334079880549</v>
      </c>
    </row>
    <row r="35" spans="1:15" ht="12.75" customHeight="1" x14ac:dyDescent="0.25">
      <c r="A35" s="1" t="s">
        <v>32</v>
      </c>
      <c r="B35" s="1" t="s">
        <v>28</v>
      </c>
      <c r="C35" s="1" t="s">
        <v>17</v>
      </c>
      <c r="D35" s="1">
        <v>744</v>
      </c>
      <c r="E35" s="1">
        <v>186</v>
      </c>
      <c r="F35" s="1">
        <v>2302</v>
      </c>
      <c r="G35" s="1">
        <v>32</v>
      </c>
      <c r="H35" s="1">
        <v>30</v>
      </c>
      <c r="I35" s="1">
        <v>315</v>
      </c>
      <c r="J35" s="1">
        <v>0.87280000000000002</v>
      </c>
      <c r="K35" s="1">
        <v>5.5999999999999999E-3</v>
      </c>
      <c r="L35" s="3">
        <f t="shared" si="0"/>
        <v>0.98713550600343059</v>
      </c>
      <c r="M35" s="3">
        <f t="shared" si="1"/>
        <v>0.87963316774933131</v>
      </c>
      <c r="N35" s="3">
        <f t="shared" si="2"/>
        <v>0.93028894726207312</v>
      </c>
      <c r="O35" s="1">
        <f t="shared" si="4"/>
        <v>0.87122060470324747</v>
      </c>
    </row>
    <row r="36" spans="1:15" ht="12.75" customHeight="1" x14ac:dyDescent="0.25">
      <c r="A36" s="1" t="s">
        <v>32</v>
      </c>
      <c r="B36" s="1" t="s">
        <v>28</v>
      </c>
      <c r="C36" s="1" t="s">
        <v>17</v>
      </c>
      <c r="D36" s="1">
        <v>744</v>
      </c>
      <c r="E36" s="1">
        <v>186</v>
      </c>
      <c r="F36" s="1">
        <v>2290</v>
      </c>
      <c r="G36" s="1">
        <v>22</v>
      </c>
      <c r="H36" s="1">
        <v>40</v>
      </c>
      <c r="I36" s="1">
        <v>327</v>
      </c>
      <c r="J36" s="1">
        <v>0.87119999999999997</v>
      </c>
      <c r="K36" s="1">
        <v>7.4999999999999997E-3</v>
      </c>
      <c r="L36" s="3">
        <f t="shared" si="0"/>
        <v>0.98283261802575106</v>
      </c>
      <c r="M36" s="3">
        <f t="shared" si="1"/>
        <v>0.87504776461597245</v>
      </c>
      <c r="N36" s="3">
        <f t="shared" si="2"/>
        <v>0.92581362441883974</v>
      </c>
      <c r="O36" s="1">
        <f t="shared" si="4"/>
        <v>0.86300858529301983</v>
      </c>
    </row>
    <row r="37" spans="1:15" ht="12.75" customHeight="1" x14ac:dyDescent="0.25">
      <c r="A37" s="1" t="s">
        <v>32</v>
      </c>
      <c r="B37" s="1" t="s">
        <v>28</v>
      </c>
      <c r="C37" s="1" t="s">
        <v>17</v>
      </c>
      <c r="D37" s="1">
        <v>744</v>
      </c>
      <c r="E37" s="1">
        <v>186</v>
      </c>
      <c r="F37" s="1">
        <v>2265</v>
      </c>
      <c r="G37" s="1">
        <v>43</v>
      </c>
      <c r="H37" s="1">
        <v>19</v>
      </c>
      <c r="I37" s="1">
        <v>352</v>
      </c>
      <c r="J37" s="1">
        <v>0.86960000000000004</v>
      </c>
      <c r="K37" s="1">
        <v>5.5999999999999999E-3</v>
      </c>
      <c r="L37" s="3">
        <f t="shared" si="0"/>
        <v>0.9916812609457093</v>
      </c>
      <c r="M37" s="3">
        <f t="shared" si="1"/>
        <v>0.86549484142147493</v>
      </c>
      <c r="N37" s="3">
        <f t="shared" si="2"/>
        <v>0.9243011630279534</v>
      </c>
      <c r="O37" s="1">
        <f t="shared" si="4"/>
        <v>0.86151549085479662</v>
      </c>
    </row>
    <row r="38" spans="1:15" ht="12.75" hidden="1" customHeight="1" x14ac:dyDescent="0.25">
      <c r="A38" s="1" t="s">
        <v>31</v>
      </c>
      <c r="B38" s="1" t="s">
        <v>16</v>
      </c>
      <c r="C38" s="1" t="s">
        <v>17</v>
      </c>
      <c r="D38" s="1">
        <v>744</v>
      </c>
      <c r="E38" s="1">
        <v>186</v>
      </c>
      <c r="F38" s="1">
        <v>536</v>
      </c>
      <c r="G38" s="1">
        <v>113</v>
      </c>
      <c r="H38" s="1">
        <v>73</v>
      </c>
      <c r="I38" s="1">
        <v>22</v>
      </c>
      <c r="J38" s="1">
        <v>0.87250000000000005</v>
      </c>
      <c r="K38" s="1" t="s">
        <v>33</v>
      </c>
      <c r="L38" s="3">
        <f t="shared" si="0"/>
        <v>0.88013136288998362</v>
      </c>
      <c r="M38" s="3">
        <f t="shared" si="1"/>
        <v>0.96057347670250892</v>
      </c>
      <c r="N38" s="3">
        <f t="shared" si="2"/>
        <v>0.91859468723221938</v>
      </c>
      <c r="O38" s="3">
        <f>(L38 + M38 + N38 + J38) / 4</f>
        <v>0.90794988170617796</v>
      </c>
    </row>
    <row r="39" spans="1:15" ht="12.75" customHeight="1" x14ac:dyDescent="0.25">
      <c r="A39" s="1" t="s">
        <v>15</v>
      </c>
      <c r="B39" s="1" t="s">
        <v>28</v>
      </c>
      <c r="C39" s="1" t="s">
        <v>17</v>
      </c>
      <c r="D39" s="1">
        <v>744</v>
      </c>
      <c r="E39" s="1">
        <v>186</v>
      </c>
      <c r="F39" s="1">
        <v>2235</v>
      </c>
      <c r="G39" s="1">
        <v>24</v>
      </c>
      <c r="H39" s="1">
        <v>38</v>
      </c>
      <c r="I39" s="1">
        <v>382</v>
      </c>
      <c r="J39" s="1">
        <v>0.87060000000000004</v>
      </c>
      <c r="K39" s="1">
        <v>1.14E-2</v>
      </c>
      <c r="L39" s="3">
        <f t="shared" si="0"/>
        <v>0.98328200615926087</v>
      </c>
      <c r="M39" s="3">
        <f t="shared" si="1"/>
        <v>0.85403133358807792</v>
      </c>
      <c r="N39" s="3">
        <f t="shared" si="2"/>
        <v>0.91411042944785281</v>
      </c>
      <c r="O39" s="1">
        <f t="shared" ref="O39:O40" si="5">(F39+G39)/(F39+G39+H39+I39)</f>
        <v>0.84322508398656215</v>
      </c>
    </row>
    <row r="40" spans="1:15" ht="12.75" customHeight="1" x14ac:dyDescent="0.25">
      <c r="A40" s="1" t="s">
        <v>15</v>
      </c>
      <c r="B40" s="1" t="s">
        <v>28</v>
      </c>
      <c r="C40" s="1" t="s">
        <v>17</v>
      </c>
      <c r="D40" s="1">
        <v>744</v>
      </c>
      <c r="E40" s="1">
        <v>186</v>
      </c>
      <c r="F40" s="1">
        <v>2185</v>
      </c>
      <c r="G40" s="1">
        <v>29</v>
      </c>
      <c r="H40" s="1">
        <v>33</v>
      </c>
      <c r="I40" s="1">
        <v>432</v>
      </c>
      <c r="J40" s="1">
        <v>0.87219999999999998</v>
      </c>
      <c r="K40" s="1">
        <v>1.1299999999999999E-2</v>
      </c>
      <c r="L40" s="3">
        <f t="shared" si="0"/>
        <v>0.98512173128944991</v>
      </c>
      <c r="M40" s="3">
        <f t="shared" si="1"/>
        <v>0.83492548719908288</v>
      </c>
      <c r="N40" s="3">
        <f t="shared" si="2"/>
        <v>0.90382626680455014</v>
      </c>
      <c r="O40" s="1">
        <f t="shared" si="5"/>
        <v>0.82642777155655101</v>
      </c>
    </row>
    <row r="41" spans="1:15" ht="12.75" hidden="1" customHeight="1" x14ac:dyDescent="0.25">
      <c r="A41" s="1" t="s">
        <v>31</v>
      </c>
      <c r="B41" s="1" t="s">
        <v>16</v>
      </c>
      <c r="C41" s="1" t="s">
        <v>17</v>
      </c>
      <c r="D41" s="1">
        <v>744</v>
      </c>
      <c r="E41" s="1">
        <v>186</v>
      </c>
      <c r="F41" s="1">
        <v>521</v>
      </c>
      <c r="G41" s="1">
        <v>111</v>
      </c>
      <c r="H41" s="1">
        <v>75</v>
      </c>
      <c r="I41" s="1">
        <v>37</v>
      </c>
      <c r="J41" s="1">
        <v>0.87090000000000001</v>
      </c>
      <c r="K41" s="1" t="s">
        <v>34</v>
      </c>
      <c r="L41" s="3">
        <f t="shared" si="0"/>
        <v>0.87416107382550334</v>
      </c>
      <c r="M41" s="3">
        <f t="shared" si="1"/>
        <v>0.93369175627240142</v>
      </c>
      <c r="N41" s="3">
        <f t="shared" si="2"/>
        <v>0.90294627383015602</v>
      </c>
      <c r="O41" s="3">
        <f t="shared" ref="O41:O45" si="6">(L41 + M41 + N41 + J41) / 4</f>
        <v>0.89542477598201509</v>
      </c>
    </row>
    <row r="42" spans="1:15" ht="12.75" hidden="1" customHeight="1" x14ac:dyDescent="0.25">
      <c r="A42" s="1" t="s">
        <v>31</v>
      </c>
      <c r="B42" s="1" t="s">
        <v>16</v>
      </c>
      <c r="C42" s="1" t="s">
        <v>17</v>
      </c>
      <c r="D42" s="1">
        <v>744</v>
      </c>
      <c r="E42" s="1">
        <v>186</v>
      </c>
      <c r="F42" s="1">
        <v>517</v>
      </c>
      <c r="G42" s="1">
        <v>115</v>
      </c>
      <c r="H42" s="1">
        <v>71</v>
      </c>
      <c r="I42" s="1">
        <v>41</v>
      </c>
      <c r="J42" s="1">
        <v>0.86770000000000003</v>
      </c>
      <c r="K42" s="1" t="s">
        <v>35</v>
      </c>
      <c r="L42" s="3">
        <f t="shared" si="0"/>
        <v>0.87925170068027214</v>
      </c>
      <c r="M42" s="3">
        <f t="shared" si="1"/>
        <v>0.92652329749103945</v>
      </c>
      <c r="N42" s="3">
        <f t="shared" si="2"/>
        <v>0.9022687609075043</v>
      </c>
      <c r="O42" s="3">
        <f t="shared" si="6"/>
        <v>0.89393593976970398</v>
      </c>
    </row>
    <row r="43" spans="1:15" ht="12.75" hidden="1" customHeight="1" x14ac:dyDescent="0.25">
      <c r="A43" s="1" t="s">
        <v>27</v>
      </c>
      <c r="B43" s="1" t="s">
        <v>16</v>
      </c>
      <c r="C43" s="1" t="s">
        <v>17</v>
      </c>
      <c r="D43" s="1">
        <v>744</v>
      </c>
      <c r="E43" s="1">
        <v>186</v>
      </c>
      <c r="F43" s="1">
        <v>539</v>
      </c>
      <c r="G43" s="1">
        <v>86</v>
      </c>
      <c r="H43" s="1">
        <v>100</v>
      </c>
      <c r="I43" s="1">
        <v>19</v>
      </c>
      <c r="J43" s="1">
        <v>0.87290000000000001</v>
      </c>
      <c r="K43" s="1" t="s">
        <v>36</v>
      </c>
      <c r="L43" s="3">
        <f t="shared" si="0"/>
        <v>0.84350547730829417</v>
      </c>
      <c r="M43" s="3">
        <f t="shared" si="1"/>
        <v>0.96594982078853042</v>
      </c>
      <c r="N43" s="3">
        <f t="shared" si="2"/>
        <v>0.90058479532163749</v>
      </c>
      <c r="O43" s="3">
        <f t="shared" si="6"/>
        <v>0.89573502335461552</v>
      </c>
    </row>
    <row r="44" spans="1:15" ht="12.75" hidden="1" customHeight="1" x14ac:dyDescent="0.25">
      <c r="A44" s="1" t="s">
        <v>31</v>
      </c>
      <c r="B44" s="1" t="s">
        <v>16</v>
      </c>
      <c r="C44" s="1" t="s">
        <v>17</v>
      </c>
      <c r="D44" s="1">
        <v>744</v>
      </c>
      <c r="E44" s="1">
        <v>186</v>
      </c>
      <c r="F44" s="1">
        <v>519</v>
      </c>
      <c r="G44" s="1">
        <v>108</v>
      </c>
      <c r="H44" s="1">
        <v>78</v>
      </c>
      <c r="I44" s="1">
        <v>39</v>
      </c>
      <c r="J44" s="1">
        <v>0.86929999999999996</v>
      </c>
      <c r="K44" s="1" t="s">
        <v>37</v>
      </c>
      <c r="L44" s="3">
        <f t="shared" si="0"/>
        <v>0.8693467336683417</v>
      </c>
      <c r="M44" s="3">
        <f t="shared" si="1"/>
        <v>0.93010752688172038</v>
      </c>
      <c r="N44" s="3">
        <f t="shared" si="2"/>
        <v>0.89870129870129867</v>
      </c>
      <c r="O44" s="3">
        <f t="shared" si="6"/>
        <v>0.89186388981284015</v>
      </c>
    </row>
    <row r="45" spans="1:15" ht="12.75" hidden="1" customHeight="1" x14ac:dyDescent="0.25">
      <c r="A45" s="1" t="s">
        <v>27</v>
      </c>
      <c r="B45" s="1" t="s">
        <v>16</v>
      </c>
      <c r="C45" s="1" t="s">
        <v>17</v>
      </c>
      <c r="D45" s="1">
        <v>744</v>
      </c>
      <c r="E45" s="1">
        <v>186</v>
      </c>
      <c r="F45" s="1">
        <v>528</v>
      </c>
      <c r="G45" s="1">
        <v>95</v>
      </c>
      <c r="H45" s="1">
        <v>91</v>
      </c>
      <c r="I45" s="1">
        <v>30</v>
      </c>
      <c r="J45" s="1">
        <v>0.86809999999999998</v>
      </c>
      <c r="K45" s="1" t="s">
        <v>38</v>
      </c>
      <c r="L45" s="3">
        <f t="shared" si="0"/>
        <v>0.85298869143780287</v>
      </c>
      <c r="M45" s="3">
        <f t="shared" si="1"/>
        <v>0.94623655913978499</v>
      </c>
      <c r="N45" s="3">
        <f t="shared" si="2"/>
        <v>0.89719626168224309</v>
      </c>
      <c r="O45" s="3">
        <f t="shared" si="6"/>
        <v>0.89113037806495776</v>
      </c>
    </row>
    <row r="46" spans="1:15" ht="12.75" customHeight="1" x14ac:dyDescent="0.25">
      <c r="A46" s="1" t="s">
        <v>15</v>
      </c>
      <c r="B46" s="1" t="s">
        <v>28</v>
      </c>
      <c r="C46" s="1" t="s">
        <v>17</v>
      </c>
      <c r="D46" s="1">
        <v>744</v>
      </c>
      <c r="E46" s="1">
        <v>186</v>
      </c>
      <c r="F46" s="1">
        <v>2149</v>
      </c>
      <c r="G46" s="1">
        <v>35</v>
      </c>
      <c r="H46" s="1">
        <v>27</v>
      </c>
      <c r="I46" s="1">
        <v>468</v>
      </c>
      <c r="J46" s="1">
        <v>0.86739999999999995</v>
      </c>
      <c r="K46" s="1">
        <v>1.41E-2</v>
      </c>
      <c r="L46" s="3">
        <f t="shared" si="0"/>
        <v>0.98759191176470584</v>
      </c>
      <c r="M46" s="3">
        <f t="shared" si="1"/>
        <v>0.8211692777990065</v>
      </c>
      <c r="N46" s="3">
        <f t="shared" si="2"/>
        <v>0.89672438973503021</v>
      </c>
      <c r="O46" s="1">
        <f>(F46+G46)/(F46+G46+H46+I46)</f>
        <v>0.81522956326987683</v>
      </c>
    </row>
    <row r="47" spans="1:15" ht="12.75" hidden="1" customHeight="1" x14ac:dyDescent="0.25">
      <c r="A47" s="1" t="s">
        <v>27</v>
      </c>
      <c r="B47" s="1" t="s">
        <v>16</v>
      </c>
      <c r="C47" s="1" t="s">
        <v>17</v>
      </c>
      <c r="D47" s="1">
        <v>744</v>
      </c>
      <c r="E47" s="1">
        <v>186</v>
      </c>
      <c r="F47" s="1">
        <v>535</v>
      </c>
      <c r="G47" s="1">
        <v>85</v>
      </c>
      <c r="H47" s="1">
        <v>101</v>
      </c>
      <c r="I47" s="1">
        <v>23</v>
      </c>
      <c r="J47" s="1">
        <v>0.87129999999999996</v>
      </c>
      <c r="K47" s="1" t="s">
        <v>39</v>
      </c>
      <c r="L47" s="3">
        <f t="shared" si="0"/>
        <v>0.8411949685534591</v>
      </c>
      <c r="M47" s="3">
        <f t="shared" si="1"/>
        <v>0.95878136200716846</v>
      </c>
      <c r="N47" s="3">
        <f t="shared" si="2"/>
        <v>0.89614740368509216</v>
      </c>
      <c r="O47" s="3">
        <f>(L47 + M47 + N47 + J47) / 4</f>
        <v>0.89185593356143</v>
      </c>
    </row>
    <row r="48" spans="1:15" ht="12.75" customHeight="1" x14ac:dyDescent="0.25">
      <c r="A48" s="1" t="s">
        <v>15</v>
      </c>
      <c r="B48" s="1" t="s">
        <v>28</v>
      </c>
      <c r="C48" s="1" t="s">
        <v>17</v>
      </c>
      <c r="D48" s="1">
        <v>744</v>
      </c>
      <c r="E48" s="1">
        <v>186</v>
      </c>
      <c r="F48" s="1">
        <v>2148</v>
      </c>
      <c r="G48" s="1">
        <v>28</v>
      </c>
      <c r="H48" s="1">
        <v>34</v>
      </c>
      <c r="I48" s="1">
        <v>469</v>
      </c>
      <c r="J48" s="1">
        <v>0.86899999999999999</v>
      </c>
      <c r="K48" s="1">
        <v>1.21E-2</v>
      </c>
      <c r="L48" s="3">
        <f t="shared" si="0"/>
        <v>0.98441796516956925</v>
      </c>
      <c r="M48" s="3">
        <f t="shared" si="1"/>
        <v>0.82078716087122661</v>
      </c>
      <c r="N48" s="3">
        <f t="shared" si="2"/>
        <v>0.8951864971869139</v>
      </c>
      <c r="O48" s="1">
        <f>(F48+G48)/(F48+G48+H48+I48)</f>
        <v>0.81224337439343042</v>
      </c>
    </row>
    <row r="49" spans="1:15" ht="12.75" hidden="1" customHeight="1" x14ac:dyDescent="0.25">
      <c r="A49" s="1" t="s">
        <v>27</v>
      </c>
      <c r="B49" s="1" t="s">
        <v>16</v>
      </c>
      <c r="C49" s="1" t="s">
        <v>17</v>
      </c>
      <c r="D49" s="1">
        <v>744</v>
      </c>
      <c r="E49" s="1">
        <v>186</v>
      </c>
      <c r="F49" s="1">
        <v>540</v>
      </c>
      <c r="G49" s="1">
        <v>70</v>
      </c>
      <c r="H49" s="1">
        <v>116</v>
      </c>
      <c r="I49" s="1">
        <v>18</v>
      </c>
      <c r="J49" s="1">
        <v>0.86970000000000003</v>
      </c>
      <c r="K49" s="1">
        <v>153</v>
      </c>
      <c r="L49" s="3">
        <f t="shared" si="0"/>
        <v>0.82317073170731703</v>
      </c>
      <c r="M49" s="3">
        <f t="shared" si="1"/>
        <v>0.967741935483871</v>
      </c>
      <c r="N49" s="3">
        <f t="shared" si="2"/>
        <v>0.88962108731466227</v>
      </c>
      <c r="O49" s="3">
        <f t="shared" ref="O49:O61" si="7">(L49 + M49 + N49 + J49) / 4</f>
        <v>0.88755843862646255</v>
      </c>
    </row>
    <row r="50" spans="1:15" ht="12.75" hidden="1" customHeight="1" x14ac:dyDescent="0.25">
      <c r="A50" s="1" t="s">
        <v>30</v>
      </c>
      <c r="B50" s="1" t="s">
        <v>16</v>
      </c>
      <c r="C50" s="1" t="s">
        <v>17</v>
      </c>
      <c r="D50" s="1">
        <v>744</v>
      </c>
      <c r="E50" s="1">
        <v>186</v>
      </c>
      <c r="F50" s="1">
        <v>528</v>
      </c>
      <c r="G50" s="1">
        <v>77</v>
      </c>
      <c r="H50" s="1">
        <v>109</v>
      </c>
      <c r="I50" s="1">
        <v>30</v>
      </c>
      <c r="J50" s="1">
        <v>0.87170000000000003</v>
      </c>
      <c r="K50" s="1" t="s">
        <v>40</v>
      </c>
      <c r="L50" s="3">
        <f t="shared" si="0"/>
        <v>0.82888540031397173</v>
      </c>
      <c r="M50" s="3">
        <f t="shared" si="1"/>
        <v>0.94623655913978499</v>
      </c>
      <c r="N50" s="3">
        <f t="shared" si="2"/>
        <v>0.88368200836820088</v>
      </c>
      <c r="O50" s="3">
        <f t="shared" si="7"/>
        <v>0.88262599195548941</v>
      </c>
    </row>
    <row r="51" spans="1:15" ht="12.75" hidden="1" customHeight="1" x14ac:dyDescent="0.25">
      <c r="A51" s="1" t="s">
        <v>29</v>
      </c>
      <c r="B51" s="1" t="s">
        <v>16</v>
      </c>
      <c r="C51" s="1" t="s">
        <v>17</v>
      </c>
      <c r="D51" s="1">
        <v>744</v>
      </c>
      <c r="E51" s="1">
        <v>186</v>
      </c>
      <c r="F51" s="1">
        <v>531</v>
      </c>
      <c r="G51" s="1">
        <v>72</v>
      </c>
      <c r="H51" s="1">
        <v>114</v>
      </c>
      <c r="I51" s="1">
        <v>27</v>
      </c>
      <c r="J51" s="1">
        <v>0.87190000000000001</v>
      </c>
      <c r="K51" s="1" t="s">
        <v>41</v>
      </c>
      <c r="L51" s="3">
        <f t="shared" si="0"/>
        <v>0.82325581395348835</v>
      </c>
      <c r="M51" s="3">
        <f t="shared" si="1"/>
        <v>0.95161290322580649</v>
      </c>
      <c r="N51" s="3">
        <f t="shared" si="2"/>
        <v>0.88279301745635919</v>
      </c>
      <c r="O51" s="3">
        <f t="shared" si="7"/>
        <v>0.88239043365891345</v>
      </c>
    </row>
    <row r="52" spans="1:15" ht="12.75" hidden="1" customHeight="1" x14ac:dyDescent="0.25">
      <c r="A52" s="1" t="s">
        <v>30</v>
      </c>
      <c r="B52" s="1" t="s">
        <v>16</v>
      </c>
      <c r="C52" s="1" t="s">
        <v>17</v>
      </c>
      <c r="D52" s="1">
        <v>744</v>
      </c>
      <c r="E52" s="1">
        <v>186</v>
      </c>
      <c r="F52" s="1">
        <v>523</v>
      </c>
      <c r="G52" s="1">
        <v>79</v>
      </c>
      <c r="H52" s="1">
        <v>107</v>
      </c>
      <c r="I52" s="1">
        <v>35</v>
      </c>
      <c r="J52" s="1">
        <v>0.8669</v>
      </c>
      <c r="K52" s="1" t="s">
        <v>42</v>
      </c>
      <c r="L52" s="3">
        <f t="shared" si="0"/>
        <v>0.83015873015873021</v>
      </c>
      <c r="M52" s="3">
        <f t="shared" si="1"/>
        <v>0.93727598566308246</v>
      </c>
      <c r="N52" s="3">
        <f t="shared" si="2"/>
        <v>0.88047138047138052</v>
      </c>
      <c r="O52" s="3">
        <f t="shared" si="7"/>
        <v>0.87870152407329827</v>
      </c>
    </row>
    <row r="53" spans="1:15" ht="12.75" hidden="1" customHeight="1" x14ac:dyDescent="0.25">
      <c r="A53" s="1" t="s">
        <v>29</v>
      </c>
      <c r="B53" s="1" t="s">
        <v>16</v>
      </c>
      <c r="C53" s="1" t="s">
        <v>17</v>
      </c>
      <c r="D53" s="1">
        <v>744</v>
      </c>
      <c r="E53" s="1">
        <v>186</v>
      </c>
      <c r="F53" s="1">
        <v>526</v>
      </c>
      <c r="G53" s="1">
        <v>71</v>
      </c>
      <c r="H53" s="1">
        <v>115</v>
      </c>
      <c r="I53" s="1">
        <v>32</v>
      </c>
      <c r="J53" s="1">
        <v>0.87029999999999996</v>
      </c>
      <c r="K53" s="1" t="s">
        <v>43</v>
      </c>
      <c r="L53" s="3">
        <f t="shared" si="0"/>
        <v>0.8205928237129485</v>
      </c>
      <c r="M53" s="3">
        <f t="shared" si="1"/>
        <v>0.94265232974910396</v>
      </c>
      <c r="N53" s="3">
        <f t="shared" si="2"/>
        <v>0.87739783152627193</v>
      </c>
      <c r="O53" s="3">
        <f t="shared" si="7"/>
        <v>0.87773574624708106</v>
      </c>
    </row>
    <row r="54" spans="1:15" ht="12.75" hidden="1" customHeight="1" x14ac:dyDescent="0.25">
      <c r="A54" s="1" t="s">
        <v>30</v>
      </c>
      <c r="B54" s="1" t="s">
        <v>16</v>
      </c>
      <c r="C54" s="1" t="s">
        <v>17</v>
      </c>
      <c r="D54" s="1">
        <v>744</v>
      </c>
      <c r="E54" s="1">
        <v>186</v>
      </c>
      <c r="F54" s="1">
        <v>518</v>
      </c>
      <c r="G54" s="1">
        <v>81</v>
      </c>
      <c r="H54" s="1">
        <v>105</v>
      </c>
      <c r="I54" s="1">
        <v>40</v>
      </c>
      <c r="J54" s="1">
        <v>0.87009999999999998</v>
      </c>
      <c r="K54" s="1" t="s">
        <v>40</v>
      </c>
      <c r="L54" s="3">
        <f t="shared" si="0"/>
        <v>0.8314606741573034</v>
      </c>
      <c r="M54" s="3">
        <f t="shared" si="1"/>
        <v>0.92831541218637992</v>
      </c>
      <c r="N54" s="3">
        <f t="shared" si="2"/>
        <v>0.87722269263336161</v>
      </c>
      <c r="O54" s="3">
        <f t="shared" si="7"/>
        <v>0.87677469474426117</v>
      </c>
    </row>
    <row r="55" spans="1:15" ht="12.75" hidden="1" customHeight="1" x14ac:dyDescent="0.25">
      <c r="A55" s="1" t="s">
        <v>29</v>
      </c>
      <c r="B55" s="1" t="s">
        <v>16</v>
      </c>
      <c r="C55" s="1" t="s">
        <v>17</v>
      </c>
      <c r="D55" s="1">
        <v>744</v>
      </c>
      <c r="E55" s="1">
        <v>186</v>
      </c>
      <c r="F55" s="1">
        <v>526</v>
      </c>
      <c r="G55" s="1">
        <v>69</v>
      </c>
      <c r="H55" s="1">
        <v>117</v>
      </c>
      <c r="I55" s="1">
        <v>32</v>
      </c>
      <c r="J55" s="1">
        <v>0.86709999999999998</v>
      </c>
      <c r="K55" s="1" t="s">
        <v>41</v>
      </c>
      <c r="L55" s="3">
        <f t="shared" si="0"/>
        <v>0.81804043545878691</v>
      </c>
      <c r="M55" s="3">
        <f t="shared" si="1"/>
        <v>0.94265232974910396</v>
      </c>
      <c r="N55" s="3">
        <f t="shared" si="2"/>
        <v>0.87593671940049955</v>
      </c>
      <c r="O55" s="3">
        <f t="shared" si="7"/>
        <v>0.87593237115209766</v>
      </c>
    </row>
    <row r="56" spans="1:15" ht="12.75" hidden="1" customHeight="1" x14ac:dyDescent="0.25">
      <c r="A56" s="1" t="s">
        <v>30</v>
      </c>
      <c r="B56" s="1" t="s">
        <v>16</v>
      </c>
      <c r="C56" s="1" t="s">
        <v>17</v>
      </c>
      <c r="D56" s="1">
        <v>744</v>
      </c>
      <c r="E56" s="1">
        <v>186</v>
      </c>
      <c r="F56" s="1">
        <v>522</v>
      </c>
      <c r="G56" s="1">
        <v>70</v>
      </c>
      <c r="H56" s="1">
        <v>116</v>
      </c>
      <c r="I56" s="1">
        <v>36</v>
      </c>
      <c r="J56" s="1">
        <v>0.86850000000000005</v>
      </c>
      <c r="K56" s="1" t="s">
        <v>44</v>
      </c>
      <c r="L56" s="3">
        <f t="shared" si="0"/>
        <v>0.81818181818181823</v>
      </c>
      <c r="M56" s="3">
        <f t="shared" si="1"/>
        <v>0.93548387096774188</v>
      </c>
      <c r="N56" s="3">
        <f t="shared" si="2"/>
        <v>0.87290969899665549</v>
      </c>
      <c r="O56" s="3">
        <f t="shared" si="7"/>
        <v>0.87376884703655389</v>
      </c>
    </row>
    <row r="57" spans="1:15" ht="12.75" hidden="1" customHeight="1" x14ac:dyDescent="0.25">
      <c r="A57" s="1" t="s">
        <v>32</v>
      </c>
      <c r="B57" s="1" t="s">
        <v>16</v>
      </c>
      <c r="C57" s="1" t="s">
        <v>17</v>
      </c>
      <c r="D57" s="1">
        <v>744</v>
      </c>
      <c r="E57" s="1">
        <v>186</v>
      </c>
      <c r="F57" s="1">
        <v>498</v>
      </c>
      <c r="G57" s="1">
        <v>98</v>
      </c>
      <c r="H57" s="1">
        <v>88</v>
      </c>
      <c r="I57" s="1">
        <v>60</v>
      </c>
      <c r="J57" s="1">
        <v>0.87270000000000003</v>
      </c>
      <c r="K57" s="1" t="s">
        <v>45</v>
      </c>
      <c r="L57" s="3">
        <f t="shared" si="0"/>
        <v>0.84982935153583616</v>
      </c>
      <c r="M57" s="3">
        <f t="shared" si="1"/>
        <v>0.89247311827956988</v>
      </c>
      <c r="N57" s="3">
        <f t="shared" si="2"/>
        <v>0.87062937062937051</v>
      </c>
      <c r="O57" s="3">
        <f t="shared" si="7"/>
        <v>0.87140796011119415</v>
      </c>
    </row>
    <row r="58" spans="1:15" ht="12.75" hidden="1" customHeight="1" x14ac:dyDescent="0.25">
      <c r="A58" s="1" t="s">
        <v>29</v>
      </c>
      <c r="B58" s="1" t="s">
        <v>16</v>
      </c>
      <c r="C58" s="1" t="s">
        <v>17</v>
      </c>
      <c r="D58" s="1">
        <v>744</v>
      </c>
      <c r="E58" s="1">
        <v>186</v>
      </c>
      <c r="F58" s="1">
        <v>529</v>
      </c>
      <c r="G58" s="1">
        <v>57</v>
      </c>
      <c r="H58" s="1">
        <v>129</v>
      </c>
      <c r="I58" s="1">
        <v>29</v>
      </c>
      <c r="J58" s="1">
        <v>0.86870000000000003</v>
      </c>
      <c r="K58" s="1" t="s">
        <v>41</v>
      </c>
      <c r="L58" s="3">
        <f t="shared" si="0"/>
        <v>0.80395136778115506</v>
      </c>
      <c r="M58" s="3">
        <f t="shared" si="1"/>
        <v>0.94802867383512546</v>
      </c>
      <c r="N58" s="3">
        <f t="shared" si="2"/>
        <v>0.87006578947368418</v>
      </c>
      <c r="O58" s="3">
        <f t="shared" si="7"/>
        <v>0.87268645777249121</v>
      </c>
    </row>
    <row r="59" spans="1:15" ht="12.75" hidden="1" customHeight="1" x14ac:dyDescent="0.25">
      <c r="A59" s="1" t="s">
        <v>32</v>
      </c>
      <c r="B59" s="1" t="s">
        <v>16</v>
      </c>
      <c r="C59" s="1" t="s">
        <v>17</v>
      </c>
      <c r="D59" s="1">
        <v>744</v>
      </c>
      <c r="E59" s="1">
        <v>186</v>
      </c>
      <c r="F59" s="1">
        <v>504</v>
      </c>
      <c r="G59" s="1">
        <v>86</v>
      </c>
      <c r="H59" s="1">
        <v>100</v>
      </c>
      <c r="I59" s="1">
        <v>54</v>
      </c>
      <c r="J59" s="1">
        <v>0.8679</v>
      </c>
      <c r="K59" s="1" t="s">
        <v>46</v>
      </c>
      <c r="L59" s="3">
        <f t="shared" si="0"/>
        <v>0.83443708609271527</v>
      </c>
      <c r="M59" s="3">
        <f t="shared" si="1"/>
        <v>0.90322580645161288</v>
      </c>
      <c r="N59" s="3">
        <f t="shared" si="2"/>
        <v>0.86746987951807231</v>
      </c>
      <c r="O59" s="3">
        <f t="shared" si="7"/>
        <v>0.86825819301560014</v>
      </c>
    </row>
    <row r="60" spans="1:15" ht="12.75" hidden="1" customHeight="1" x14ac:dyDescent="0.25">
      <c r="A60" s="1" t="s">
        <v>32</v>
      </c>
      <c r="B60" s="1" t="s">
        <v>16</v>
      </c>
      <c r="C60" s="1" t="s">
        <v>17</v>
      </c>
      <c r="D60" s="1">
        <v>744</v>
      </c>
      <c r="E60" s="1">
        <v>186</v>
      </c>
      <c r="F60" s="1">
        <v>491</v>
      </c>
      <c r="G60" s="1">
        <v>102</v>
      </c>
      <c r="H60" s="1">
        <v>84</v>
      </c>
      <c r="I60" s="1">
        <v>67</v>
      </c>
      <c r="J60" s="1">
        <v>0.86950000000000005</v>
      </c>
      <c r="K60" s="1" t="s">
        <v>45</v>
      </c>
      <c r="L60" s="3">
        <f t="shared" si="0"/>
        <v>0.85391304347826091</v>
      </c>
      <c r="M60" s="3">
        <f t="shared" si="1"/>
        <v>0.87992831541218641</v>
      </c>
      <c r="N60" s="3">
        <f t="shared" si="2"/>
        <v>0.86672550750220656</v>
      </c>
      <c r="O60" s="3">
        <f t="shared" si="7"/>
        <v>0.86751671659816343</v>
      </c>
    </row>
    <row r="61" spans="1:15" ht="12.75" hidden="1" customHeight="1" x14ac:dyDescent="0.25">
      <c r="A61" s="1" t="s">
        <v>32</v>
      </c>
      <c r="B61" s="1" t="s">
        <v>16</v>
      </c>
      <c r="C61" s="1" t="s">
        <v>17</v>
      </c>
      <c r="D61" s="1">
        <v>744</v>
      </c>
      <c r="E61" s="1">
        <v>186</v>
      </c>
      <c r="F61" s="1">
        <v>480</v>
      </c>
      <c r="G61" s="1">
        <v>92</v>
      </c>
      <c r="H61" s="1">
        <v>94</v>
      </c>
      <c r="I61" s="1">
        <v>78</v>
      </c>
      <c r="J61" s="1">
        <v>0.87109999999999999</v>
      </c>
      <c r="K61" s="1" t="s">
        <v>47</v>
      </c>
      <c r="L61" s="3">
        <f t="shared" si="0"/>
        <v>0.83623693379790942</v>
      </c>
      <c r="M61" s="3">
        <f t="shared" si="1"/>
        <v>0.86021505376344087</v>
      </c>
      <c r="N61" s="3">
        <f t="shared" si="2"/>
        <v>0.84805653710247353</v>
      </c>
      <c r="O61" s="3">
        <f t="shared" si="7"/>
        <v>0.85390213116595604</v>
      </c>
    </row>
    <row r="62" spans="1:15" ht="12.75" customHeight="1" x14ac:dyDescent="0.25">
      <c r="A62" s="1" t="s">
        <v>21</v>
      </c>
      <c r="B62" s="1" t="s">
        <v>28</v>
      </c>
      <c r="C62" s="1" t="s">
        <v>17</v>
      </c>
      <c r="D62" s="1">
        <v>744</v>
      </c>
      <c r="E62" s="1">
        <v>186</v>
      </c>
      <c r="F62" s="1">
        <v>36</v>
      </c>
      <c r="G62" s="1">
        <v>2373</v>
      </c>
      <c r="H62" s="1">
        <v>244</v>
      </c>
      <c r="I62" s="1">
        <v>26</v>
      </c>
      <c r="J62" s="1">
        <v>0.87319999999999998</v>
      </c>
      <c r="K62" s="1">
        <v>116</v>
      </c>
      <c r="L62" s="3">
        <f t="shared" si="0"/>
        <v>0.12857142857142856</v>
      </c>
      <c r="M62" s="3">
        <f t="shared" si="1"/>
        <v>0.58064516129032262</v>
      </c>
      <c r="N62" s="3">
        <f t="shared" si="2"/>
        <v>0.2105263157894737</v>
      </c>
      <c r="O62" s="1">
        <f t="shared" ref="O62:O65" si="8">(F62+G62)/(F62+G62+H62+I62)</f>
        <v>0.89921612541993279</v>
      </c>
    </row>
    <row r="63" spans="1:15" ht="12.75" customHeight="1" x14ac:dyDescent="0.25">
      <c r="A63" s="1" t="s">
        <v>21</v>
      </c>
      <c r="B63" s="1" t="s">
        <v>28</v>
      </c>
      <c r="C63" s="1" t="s">
        <v>17</v>
      </c>
      <c r="D63" s="1">
        <v>744</v>
      </c>
      <c r="E63" s="1">
        <v>186</v>
      </c>
      <c r="F63" s="1">
        <v>38</v>
      </c>
      <c r="G63" s="1">
        <v>2336</v>
      </c>
      <c r="H63" s="1">
        <v>281</v>
      </c>
      <c r="I63" s="1">
        <v>24</v>
      </c>
      <c r="J63" s="1">
        <v>0.87</v>
      </c>
      <c r="K63" s="1">
        <v>111</v>
      </c>
      <c r="L63" s="3">
        <f t="shared" si="0"/>
        <v>0.11912225705329153</v>
      </c>
      <c r="M63" s="3">
        <f t="shared" si="1"/>
        <v>0.61290322580645162</v>
      </c>
      <c r="N63" s="3">
        <f t="shared" si="2"/>
        <v>0.19947506561679793</v>
      </c>
      <c r="O63" s="1">
        <f t="shared" si="8"/>
        <v>0.88615154908547966</v>
      </c>
    </row>
    <row r="64" spans="1:15" ht="12.75" customHeight="1" x14ac:dyDescent="0.25">
      <c r="A64" s="1" t="s">
        <v>21</v>
      </c>
      <c r="B64" s="1" t="s">
        <v>28</v>
      </c>
      <c r="C64" s="1" t="s">
        <v>17</v>
      </c>
      <c r="D64" s="1">
        <v>744</v>
      </c>
      <c r="E64" s="1">
        <v>186</v>
      </c>
      <c r="F64" s="1">
        <v>40</v>
      </c>
      <c r="G64" s="1">
        <v>2313</v>
      </c>
      <c r="H64" s="1">
        <v>304</v>
      </c>
      <c r="I64" s="1">
        <v>22</v>
      </c>
      <c r="J64" s="1">
        <v>0.86839999999999995</v>
      </c>
      <c r="K64" s="1">
        <v>108</v>
      </c>
      <c r="L64" s="3">
        <f t="shared" si="0"/>
        <v>0.11627906976744186</v>
      </c>
      <c r="M64" s="3">
        <f t="shared" si="1"/>
        <v>0.64516129032258063</v>
      </c>
      <c r="N64" s="3">
        <f t="shared" si="2"/>
        <v>0.19704433497536947</v>
      </c>
      <c r="O64" s="1">
        <f t="shared" si="8"/>
        <v>0.87831280328480776</v>
      </c>
    </row>
    <row r="65" spans="1:15" ht="12.75" customHeight="1" x14ac:dyDescent="0.25">
      <c r="A65" s="1" t="s">
        <v>21</v>
      </c>
      <c r="B65" s="1" t="s">
        <v>28</v>
      </c>
      <c r="C65" s="1" t="s">
        <v>17</v>
      </c>
      <c r="D65" s="1">
        <v>744</v>
      </c>
      <c r="E65" s="1">
        <v>186</v>
      </c>
      <c r="F65" s="1">
        <v>31</v>
      </c>
      <c r="G65" s="1">
        <v>2385</v>
      </c>
      <c r="H65" s="1">
        <v>232</v>
      </c>
      <c r="I65" s="1">
        <v>31</v>
      </c>
      <c r="J65" s="1">
        <v>0.87160000000000004</v>
      </c>
      <c r="K65" s="1">
        <v>0.14169999999999999</v>
      </c>
      <c r="L65" s="3">
        <f t="shared" si="0"/>
        <v>0.11787072243346007</v>
      </c>
      <c r="M65" s="3">
        <f t="shared" si="1"/>
        <v>0.5</v>
      </c>
      <c r="N65" s="3">
        <f t="shared" si="2"/>
        <v>0.19076923076923075</v>
      </c>
      <c r="O65" s="1">
        <f t="shared" si="8"/>
        <v>0.90182904068682346</v>
      </c>
    </row>
    <row r="66" spans="1:15" ht="12.75" customHeight="1" x14ac:dyDescent="0.25"/>
    <row r="67" spans="1:15" ht="12.75" customHeight="1" x14ac:dyDescent="0.25"/>
    <row r="68" spans="1:15" ht="12.75" customHeight="1" x14ac:dyDescent="0.25">
      <c r="A68" s="4"/>
      <c r="B68" s="3" t="s">
        <v>48</v>
      </c>
      <c r="C68" s="3" t="s">
        <v>49</v>
      </c>
      <c r="D68" s="1" t="s">
        <v>50</v>
      </c>
      <c r="E68" s="3" t="s">
        <v>14</v>
      </c>
      <c r="F68" s="3" t="s">
        <v>51</v>
      </c>
    </row>
    <row r="69" spans="1:15" ht="12.75" customHeight="1" x14ac:dyDescent="0.25">
      <c r="A69" s="3" t="s">
        <v>52</v>
      </c>
      <c r="B69" s="3" t="s">
        <v>53</v>
      </c>
      <c r="C69" s="3" t="s">
        <v>54</v>
      </c>
      <c r="D69" s="3">
        <v>0.95499999999999996</v>
      </c>
      <c r="E69" s="1">
        <v>0.94299999999999995</v>
      </c>
      <c r="F69" s="1">
        <f>I14/(F14+I14)</f>
        <v>4.4707680550248374E-2</v>
      </c>
    </row>
    <row r="70" spans="1:15" ht="12.75" customHeight="1" x14ac:dyDescent="0.25">
      <c r="A70" s="3" t="s">
        <v>55</v>
      </c>
      <c r="B70" s="3" t="s">
        <v>56</v>
      </c>
      <c r="C70" s="3" t="s">
        <v>57</v>
      </c>
    </row>
    <row r="71" spans="1:15" ht="12.75" customHeight="1" x14ac:dyDescent="0.25"/>
    <row r="72" spans="1:15" ht="12.75" customHeight="1" x14ac:dyDescent="0.25"/>
    <row r="73" spans="1:15" ht="12.75" customHeight="1" x14ac:dyDescent="0.25"/>
    <row r="74" spans="1:15" ht="12.75" customHeight="1" x14ac:dyDescent="0.25"/>
    <row r="75" spans="1:15" ht="12.75" customHeight="1" x14ac:dyDescent="0.25"/>
    <row r="76" spans="1:15" ht="12.75" customHeight="1" x14ac:dyDescent="0.25"/>
    <row r="77" spans="1:15" ht="12.75" customHeight="1" x14ac:dyDescent="0.25"/>
    <row r="78" spans="1:15" ht="12.75" customHeight="1" x14ac:dyDescent="0.25"/>
    <row r="79" spans="1:15" ht="12.75" customHeight="1" x14ac:dyDescent="0.25"/>
    <row r="80" spans="1:15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B1:B65" xr:uid="{00000000-0009-0000-0000-000000000000}">
    <filterColumn colId="0">
      <filters>
        <filter val="Test set"/>
      </filters>
    </filterColumn>
  </autoFilter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A34" workbookViewId="0">
      <selection activeCell="F80" sqref="F80"/>
    </sheetView>
  </sheetViews>
  <sheetFormatPr defaultColWidth="12.6640625" defaultRowHeight="15" customHeight="1" x14ac:dyDescent="0.25"/>
  <cols>
    <col min="1" max="1" width="18.88671875" customWidth="1"/>
    <col min="2" max="2" width="21" customWidth="1"/>
    <col min="3" max="3" width="29.77734375" customWidth="1"/>
    <col min="4" max="4" width="20.5546875" customWidth="1"/>
    <col min="5" max="5" width="20.88671875" customWidth="1"/>
    <col min="6" max="6" width="18.109375" customWidth="1"/>
    <col min="7" max="7" width="20.21875" customWidth="1"/>
    <col min="8" max="13" width="11.44140625" customWidth="1"/>
    <col min="14" max="26" width="8.6640625" customWidth="1"/>
  </cols>
  <sheetData>
    <row r="1" spans="1:13" ht="12.75" customHeight="1" x14ac:dyDescent="0.25">
      <c r="A1" s="2" t="s">
        <v>1</v>
      </c>
      <c r="B1" s="5" t="s">
        <v>58</v>
      </c>
    </row>
    <row r="2" spans="1:13" ht="12.75" customHeight="1" x14ac:dyDescent="0.25"/>
    <row r="3" spans="1:13" ht="12.75" customHeight="1" x14ac:dyDescent="0.25">
      <c r="A3" s="6"/>
      <c r="B3" s="7" t="s">
        <v>59</v>
      </c>
      <c r="C3" s="8"/>
      <c r="D3" s="8"/>
      <c r="E3" s="8"/>
      <c r="F3" s="8"/>
      <c r="G3" s="9"/>
    </row>
    <row r="4" spans="1:13" ht="12.75" customHeight="1" x14ac:dyDescent="0.25">
      <c r="A4" s="10" t="s">
        <v>0</v>
      </c>
      <c r="B4" s="11" t="s">
        <v>60</v>
      </c>
      <c r="C4" s="12" t="s">
        <v>61</v>
      </c>
      <c r="D4" s="12" t="s">
        <v>62</v>
      </c>
      <c r="E4" s="12" t="s">
        <v>63</v>
      </c>
      <c r="F4" s="12" t="s">
        <v>64</v>
      </c>
      <c r="G4" s="13" t="s">
        <v>65</v>
      </c>
    </row>
    <row r="5" spans="1:13" ht="12.75" customHeight="1" x14ac:dyDescent="0.25">
      <c r="A5" s="14" t="s">
        <v>15</v>
      </c>
      <c r="B5" s="15">
        <v>0.86975000000000002</v>
      </c>
      <c r="C5" s="16">
        <v>1.2225E-2</v>
      </c>
      <c r="D5" s="16">
        <v>0.992551701797873</v>
      </c>
      <c r="E5" s="16">
        <v>0.89585322415080304</v>
      </c>
      <c r="F5" s="16">
        <v>0.91636415743217403</v>
      </c>
      <c r="G5" s="17">
        <v>0.95123094789679397</v>
      </c>
    </row>
    <row r="6" spans="1:13" ht="12.75" customHeight="1" x14ac:dyDescent="0.25">
      <c r="A6" s="18" t="s">
        <v>31</v>
      </c>
      <c r="B6" s="19">
        <v>0.87014999999999998</v>
      </c>
      <c r="C6" s="2">
        <v>6.4375000000000002E-2</v>
      </c>
      <c r="D6" s="2">
        <v>0.93072284513452597</v>
      </c>
      <c r="E6" s="2">
        <v>0.89120933423844295</v>
      </c>
      <c r="F6" s="2">
        <v>0.91655975267858503</v>
      </c>
      <c r="G6" s="20">
        <v>0.92199347161345202</v>
      </c>
    </row>
    <row r="7" spans="1:13" ht="12.75" customHeight="1" x14ac:dyDescent="0.25">
      <c r="A7" s="18" t="s">
        <v>30</v>
      </c>
      <c r="B7" s="19">
        <v>0.86934999999999996</v>
      </c>
      <c r="C7" s="2">
        <v>6.1000000000000004E-3</v>
      </c>
      <c r="D7" s="2">
        <v>0.90617183257366396</v>
      </c>
      <c r="E7" s="2">
        <v>0.89605741712728304</v>
      </c>
      <c r="F7" s="2">
        <v>0.93144416573191802</v>
      </c>
      <c r="G7" s="20">
        <v>0.91663026136588499</v>
      </c>
    </row>
    <row r="8" spans="1:13" ht="12.75" customHeight="1" x14ac:dyDescent="0.25">
      <c r="A8" s="18" t="s">
        <v>29</v>
      </c>
      <c r="B8" s="19">
        <v>0.86955000000000005</v>
      </c>
      <c r="C8" s="2">
        <v>1.0775E-2</v>
      </c>
      <c r="D8" s="2">
        <v>0.90035062444085201</v>
      </c>
      <c r="E8" s="2">
        <v>0.90014594431957495</v>
      </c>
      <c r="F8" s="2">
        <v>0.94125928071624299</v>
      </c>
      <c r="G8" s="20">
        <v>0.91809991129607105</v>
      </c>
    </row>
    <row r="9" spans="1:13" ht="12.75" customHeight="1" x14ac:dyDescent="0.25">
      <c r="A9" s="18" t="s">
        <v>32</v>
      </c>
      <c r="B9" s="19">
        <v>0.87034999999999996</v>
      </c>
      <c r="C9" s="2">
        <v>6.1000000000000004E-3</v>
      </c>
      <c r="D9" s="2">
        <v>0.91530609732537704</v>
      </c>
      <c r="E9" s="2">
        <v>0.866659514622376</v>
      </c>
      <c r="F9" s="2">
        <v>0.88022063828592501</v>
      </c>
      <c r="G9" s="20">
        <v>0.89583065082878799</v>
      </c>
    </row>
    <row r="10" spans="1:13" ht="12.75" customHeight="1" x14ac:dyDescent="0.25">
      <c r="A10" s="18" t="s">
        <v>19</v>
      </c>
      <c r="B10" s="19">
        <v>0.86995</v>
      </c>
      <c r="C10" s="2">
        <v>275.78486666666703</v>
      </c>
      <c r="D10" s="2">
        <v>0.99372438600458601</v>
      </c>
      <c r="E10" s="2">
        <v>0.94113764930944399</v>
      </c>
      <c r="F10" s="2">
        <v>0.96226595338173504</v>
      </c>
      <c r="G10" s="20">
        <v>0.97746564258480395</v>
      </c>
    </row>
    <row r="11" spans="1:13" ht="12.75" customHeight="1" x14ac:dyDescent="0.25">
      <c r="A11" s="18" t="s">
        <v>27</v>
      </c>
      <c r="B11" s="19">
        <v>0.87055000000000005</v>
      </c>
      <c r="C11" s="2">
        <v>61.314399999999999</v>
      </c>
      <c r="D11" s="2">
        <v>0.91265563280220596</v>
      </c>
      <c r="E11" s="2">
        <v>0.90943745397043696</v>
      </c>
      <c r="F11" s="2">
        <v>0.94974700161475201</v>
      </c>
      <c r="G11" s="20">
        <v>0.92888379069635496</v>
      </c>
    </row>
    <row r="12" spans="1:13" ht="12.75" customHeight="1" x14ac:dyDescent="0.25">
      <c r="A12" s="18" t="s">
        <v>21</v>
      </c>
      <c r="B12" s="21">
        <v>0.87075000000000002</v>
      </c>
      <c r="C12" s="22">
        <v>95.734528571428598</v>
      </c>
      <c r="D12" s="22">
        <v>0.560230434728203</v>
      </c>
      <c r="E12" s="22">
        <v>0.92952618980963098</v>
      </c>
      <c r="F12" s="22">
        <v>0.79233870967741904</v>
      </c>
      <c r="G12" s="23">
        <v>0.59972686839385903</v>
      </c>
    </row>
    <row r="13" spans="1:13" ht="12.75" customHeight="1" x14ac:dyDescent="0.25">
      <c r="A13" s="24" t="s">
        <v>66</v>
      </c>
      <c r="B13" s="25">
        <v>0.87004999999999999</v>
      </c>
      <c r="C13" s="26">
        <v>69.258452631579004</v>
      </c>
      <c r="D13" s="26">
        <v>0.88896419435091101</v>
      </c>
      <c r="E13" s="26">
        <v>0.90375334094349802</v>
      </c>
      <c r="F13" s="26">
        <v>0.91127495743984399</v>
      </c>
      <c r="G13" s="27">
        <v>0.88873269308450098</v>
      </c>
    </row>
    <row r="14" spans="1:13" ht="12.75" customHeight="1" x14ac:dyDescent="0.25"/>
    <row r="15" spans="1:13" ht="12.75" customHeight="1" x14ac:dyDescent="0.25"/>
    <row r="16" spans="1:13" ht="12.75" customHeight="1" x14ac:dyDescent="0.25">
      <c r="A16" s="18" t="s">
        <v>21</v>
      </c>
      <c r="B16" s="21">
        <v>0.87075000000000002</v>
      </c>
      <c r="D16" s="18" t="s">
        <v>19</v>
      </c>
      <c r="E16" s="20">
        <v>0.97746564258480395</v>
      </c>
      <c r="G16" s="18" t="s">
        <v>19</v>
      </c>
      <c r="H16" s="2">
        <v>0.94113764930944399</v>
      </c>
      <c r="J16" s="18" t="s">
        <v>19</v>
      </c>
      <c r="K16" s="2">
        <v>0.96226595338173504</v>
      </c>
      <c r="L16" s="16"/>
      <c r="M16" s="16"/>
    </row>
    <row r="17" spans="1:13" ht="12.75" customHeight="1" x14ac:dyDescent="0.25">
      <c r="A17" s="18" t="s">
        <v>27</v>
      </c>
      <c r="B17" s="19">
        <v>0.87055000000000005</v>
      </c>
      <c r="D17" s="14" t="s">
        <v>15</v>
      </c>
      <c r="E17" s="17">
        <v>0.95123094789679397</v>
      </c>
      <c r="G17" s="18" t="s">
        <v>21</v>
      </c>
      <c r="H17" s="22">
        <v>0.92952618980963098</v>
      </c>
      <c r="J17" s="18" t="s">
        <v>27</v>
      </c>
      <c r="K17" s="2">
        <v>0.94974700161475201</v>
      </c>
      <c r="L17" s="2"/>
      <c r="M17" s="2"/>
    </row>
    <row r="18" spans="1:13" ht="12.75" customHeight="1" x14ac:dyDescent="0.25">
      <c r="A18" s="18" t="s">
        <v>32</v>
      </c>
      <c r="B18" s="19">
        <v>0.87034999999999996</v>
      </c>
      <c r="D18" s="18" t="s">
        <v>27</v>
      </c>
      <c r="E18" s="20">
        <v>0.92888379069635496</v>
      </c>
      <c r="G18" s="18" t="s">
        <v>27</v>
      </c>
      <c r="H18" s="2">
        <v>0.90943745397043696</v>
      </c>
      <c r="J18" s="18" t="s">
        <v>29</v>
      </c>
      <c r="K18" s="2">
        <v>0.94125928071624299</v>
      </c>
      <c r="L18" s="2"/>
      <c r="M18" s="2"/>
    </row>
    <row r="19" spans="1:13" ht="12.75" customHeight="1" x14ac:dyDescent="0.25">
      <c r="A19" s="18" t="s">
        <v>31</v>
      </c>
      <c r="B19" s="19">
        <v>0.87014999999999998</v>
      </c>
      <c r="D19" s="18" t="s">
        <v>31</v>
      </c>
      <c r="E19" s="20">
        <v>0.92199347161345202</v>
      </c>
      <c r="G19" s="18" t="s">
        <v>29</v>
      </c>
      <c r="H19" s="2">
        <v>0.90014594431957495</v>
      </c>
      <c r="J19" s="18" t="s">
        <v>30</v>
      </c>
      <c r="K19" s="2">
        <v>0.93144416573191802</v>
      </c>
      <c r="L19" s="2"/>
      <c r="M19" s="2"/>
    </row>
    <row r="20" spans="1:13" ht="12.75" customHeight="1" x14ac:dyDescent="0.25">
      <c r="A20" s="18" t="s">
        <v>19</v>
      </c>
      <c r="B20" s="19">
        <v>0.86995</v>
      </c>
      <c r="D20" s="18" t="s">
        <v>29</v>
      </c>
      <c r="E20" s="20">
        <v>0.91809991129607105</v>
      </c>
      <c r="G20" s="18" t="s">
        <v>30</v>
      </c>
      <c r="H20" s="2">
        <v>0.89605741712728304</v>
      </c>
      <c r="J20" s="18" t="s">
        <v>31</v>
      </c>
      <c r="K20" s="2">
        <v>0.91655975267858503</v>
      </c>
      <c r="L20" s="2"/>
      <c r="M20" s="2"/>
    </row>
    <row r="21" spans="1:13" ht="12.75" customHeight="1" x14ac:dyDescent="0.25">
      <c r="A21" s="14" t="s">
        <v>15</v>
      </c>
      <c r="B21" s="15">
        <v>0.86975000000000002</v>
      </c>
      <c r="D21" s="18" t="s">
        <v>30</v>
      </c>
      <c r="E21" s="20">
        <v>0.91663026136588499</v>
      </c>
      <c r="G21" s="14" t="s">
        <v>15</v>
      </c>
      <c r="H21" s="16">
        <v>0.89585322415080304</v>
      </c>
      <c r="J21" s="14" t="s">
        <v>15</v>
      </c>
      <c r="K21" s="16">
        <v>0.91636415743217403</v>
      </c>
      <c r="L21" s="2"/>
      <c r="M21" s="2"/>
    </row>
    <row r="22" spans="1:13" ht="12.75" customHeight="1" x14ac:dyDescent="0.25">
      <c r="A22" s="18" t="s">
        <v>29</v>
      </c>
      <c r="B22" s="19">
        <v>0.86955000000000005</v>
      </c>
      <c r="D22" s="18" t="s">
        <v>32</v>
      </c>
      <c r="E22" s="20">
        <v>0.89583065082878799</v>
      </c>
      <c r="G22" s="18" t="s">
        <v>31</v>
      </c>
      <c r="H22" s="2">
        <v>0.89120933423844295</v>
      </c>
      <c r="J22" s="18" t="s">
        <v>32</v>
      </c>
      <c r="K22" s="2">
        <v>0.88022063828592501</v>
      </c>
      <c r="L22" s="2"/>
      <c r="M22" s="2"/>
    </row>
    <row r="23" spans="1:13" ht="12.75" customHeight="1" x14ac:dyDescent="0.25">
      <c r="A23" s="18" t="s">
        <v>30</v>
      </c>
      <c r="B23" s="19">
        <v>0.86934999999999996</v>
      </c>
      <c r="D23" s="18" t="s">
        <v>21</v>
      </c>
      <c r="E23" s="23">
        <v>0.59972686839385903</v>
      </c>
      <c r="G23" s="18" t="s">
        <v>32</v>
      </c>
      <c r="H23" s="2">
        <v>0.866659514622376</v>
      </c>
      <c r="J23" s="18" t="s">
        <v>21</v>
      </c>
      <c r="K23" s="22">
        <v>0.79233870967741904</v>
      </c>
      <c r="L23" s="22"/>
      <c r="M23" s="22"/>
    </row>
    <row r="24" spans="1:13" ht="12.75" customHeight="1" x14ac:dyDescent="0.25"/>
    <row r="25" spans="1:13" ht="12.75" customHeight="1" x14ac:dyDescent="0.25"/>
    <row r="26" spans="1:13" ht="12.75" customHeight="1" x14ac:dyDescent="0.25"/>
    <row r="27" spans="1:13" ht="12.75" customHeight="1" x14ac:dyDescent="0.25"/>
    <row r="28" spans="1:13" ht="12.75" customHeight="1" x14ac:dyDescent="0.25"/>
    <row r="29" spans="1:13" ht="12.75" customHeight="1" x14ac:dyDescent="0.25"/>
    <row r="30" spans="1:13" ht="12.75" customHeight="1" x14ac:dyDescent="0.25"/>
    <row r="31" spans="1:13" ht="12.75" customHeight="1" x14ac:dyDescent="0.25"/>
    <row r="32" spans="1:1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balancedDataOutcomes (1)</vt:lpstr>
      <vt:lpstr>Συγκεντρωτικός πίνακας_balanced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 Saridou</cp:lastModifiedBy>
  <dcterms:modified xsi:type="dcterms:W3CDTF">2026-01-06T14:33:24Z</dcterms:modified>
</cp:coreProperties>
</file>